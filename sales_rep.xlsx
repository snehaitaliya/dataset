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_sci\Dataset\"/>
    </mc:Choice>
  </mc:AlternateContent>
  <bookViews>
    <workbookView xWindow="0" yWindow="0" windowWidth="19200" windowHeight="11595" activeTab="1"/>
  </bookViews>
  <sheets>
    <sheet name="category" sheetId="1" r:id="rId1"/>
    <sheet name="purchase report" sheetId="2" r:id="rId2"/>
    <sheet name="sales report" sheetId="3" r:id="rId3"/>
    <sheet name="stock report" sheetId="4" r:id="rId4"/>
    <sheet name="subcategory" sheetId="5" r:id="rId5"/>
  </sheets>
  <definedNames>
    <definedName name="Clothes">subcategory!$C$2:$C$3</definedName>
    <definedName name="Electronics">subcategory!$C$6:$C$7</definedName>
    <definedName name="Furniture">subcategory!$C$10:$C$11</definedName>
    <definedName name="Kitchen">subcategory!$C$8:$C$9</definedName>
    <definedName name="PersonalCare">subcategory!$C$4:$C$5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4" l="1"/>
  <c r="E4" i="3"/>
  <c r="E5" i="3"/>
  <c r="E6" i="3"/>
  <c r="E7" i="3"/>
  <c r="E8" i="3"/>
  <c r="E9" i="3"/>
  <c r="E10" i="3"/>
  <c r="E11" i="3"/>
  <c r="E12" i="3"/>
  <c r="E3" i="3"/>
  <c r="D3" i="4" l="1"/>
  <c r="D4" i="4"/>
  <c r="D5" i="4"/>
  <c r="D6" i="4"/>
  <c r="D7" i="4"/>
  <c r="D8" i="4"/>
  <c r="D9" i="4"/>
  <c r="D10" i="4"/>
  <c r="D11" i="4"/>
  <c r="D12" i="4"/>
  <c r="E4" i="4" l="1"/>
  <c r="E5" i="4"/>
  <c r="E6" i="4"/>
  <c r="E7" i="4"/>
  <c r="E8" i="4"/>
  <c r="E9" i="4"/>
  <c r="E10" i="4"/>
  <c r="E11" i="4"/>
  <c r="E12" i="4"/>
  <c r="J5" i="3" l="1"/>
  <c r="J9" i="3"/>
  <c r="G4" i="3"/>
  <c r="G5" i="3"/>
  <c r="G6" i="3"/>
  <c r="G7" i="3"/>
  <c r="G8" i="3"/>
  <c r="G9" i="3"/>
  <c r="G10" i="3"/>
  <c r="G11" i="3"/>
  <c r="G12" i="3"/>
  <c r="G3" i="3"/>
  <c r="H12" i="3"/>
  <c r="H11" i="3"/>
  <c r="I11" i="3" s="1"/>
  <c r="J11" i="3" s="1"/>
  <c r="H10" i="3"/>
  <c r="I10" i="3" s="1"/>
  <c r="J10" i="3" s="1"/>
  <c r="H9" i="3"/>
  <c r="I9" i="3" s="1"/>
  <c r="H8" i="3"/>
  <c r="H7" i="3"/>
  <c r="I7" i="3" s="1"/>
  <c r="J7" i="3" s="1"/>
  <c r="H6" i="3"/>
  <c r="I6" i="3" s="1"/>
  <c r="J6" i="3" s="1"/>
  <c r="H5" i="3"/>
  <c r="I5" i="3" s="1"/>
  <c r="H4" i="3"/>
  <c r="H3" i="3"/>
  <c r="I3" i="3" s="1"/>
  <c r="J3" i="3" s="1"/>
  <c r="G4" i="2"/>
  <c r="G5" i="2"/>
  <c r="G6" i="2"/>
  <c r="G7" i="2"/>
  <c r="G8" i="2"/>
  <c r="G9" i="2"/>
  <c r="G10" i="2"/>
  <c r="G11" i="2"/>
  <c r="G12" i="2"/>
  <c r="G3" i="2"/>
  <c r="H3" i="2" s="1"/>
  <c r="I3" i="2" s="1"/>
  <c r="F4" i="2"/>
  <c r="F5" i="2"/>
  <c r="H5" i="2" s="1"/>
  <c r="I5" i="2" s="1"/>
  <c r="F6" i="2"/>
  <c r="H6" i="2" s="1"/>
  <c r="I6" i="2" s="1"/>
  <c r="F7" i="2"/>
  <c r="F8" i="2"/>
  <c r="F9" i="2"/>
  <c r="F10" i="2"/>
  <c r="H10" i="2" s="1"/>
  <c r="I10" i="2" s="1"/>
  <c r="F11" i="2"/>
  <c r="F12" i="2"/>
  <c r="F3" i="2"/>
  <c r="A4" i="1"/>
  <c r="A5" i="1"/>
  <c r="A6" i="1"/>
  <c r="A7" i="1"/>
  <c r="A3" i="1"/>
  <c r="H11" i="2" l="1"/>
  <c r="I11" i="2" s="1"/>
  <c r="H7" i="2"/>
  <c r="I7" i="2" s="1"/>
  <c r="H12" i="2"/>
  <c r="I12" i="2" s="1"/>
  <c r="H8" i="2"/>
  <c r="I8" i="2" s="1"/>
  <c r="H4" i="2"/>
  <c r="I4" i="2" s="1"/>
  <c r="I4" i="3"/>
  <c r="J4" i="3" s="1"/>
  <c r="I8" i="3"/>
  <c r="J8" i="3" s="1"/>
  <c r="I12" i="3"/>
  <c r="J12" i="3" s="1"/>
  <c r="H9" i="2"/>
  <c r="I9" i="2" s="1"/>
</calcChain>
</file>

<file path=xl/sharedStrings.xml><?xml version="1.0" encoding="utf-8"?>
<sst xmlns="http://schemas.openxmlformats.org/spreadsheetml/2006/main" count="121" uniqueCount="33">
  <si>
    <t>No.</t>
  </si>
  <si>
    <t>GST</t>
  </si>
  <si>
    <t>Clothes</t>
  </si>
  <si>
    <t>Electronics</t>
  </si>
  <si>
    <t>Kitchen</t>
  </si>
  <si>
    <t>Furniture</t>
  </si>
  <si>
    <t>CATEGORY</t>
  </si>
  <si>
    <t>PURCHASE REPORT</t>
  </si>
  <si>
    <t>ITEM_NAME</t>
  </si>
  <si>
    <t>QTY</t>
  </si>
  <si>
    <t>PRICE</t>
  </si>
  <si>
    <t>AMOUNT</t>
  </si>
  <si>
    <t>GST_AMOUNT</t>
  </si>
  <si>
    <t>TOTAL_AMOUNT</t>
  </si>
  <si>
    <t>DATE</t>
  </si>
  <si>
    <t>Girls Shirts</t>
  </si>
  <si>
    <t>Shampoo</t>
  </si>
  <si>
    <t>Cooker</t>
  </si>
  <si>
    <t>T-shirts</t>
  </si>
  <si>
    <t>Sunscreen</t>
  </si>
  <si>
    <t>Sofa</t>
  </si>
  <si>
    <t>Mixer</t>
  </si>
  <si>
    <t>Bed</t>
  </si>
  <si>
    <t>AC</t>
  </si>
  <si>
    <t>TV</t>
  </si>
  <si>
    <t>SALES REPORT</t>
  </si>
  <si>
    <t>PAY_AMOUNT</t>
  </si>
  <si>
    <t>SALE_PRICE</t>
  </si>
  <si>
    <t>SALE_QTY</t>
  </si>
  <si>
    <t>STOCK REPORT</t>
  </si>
  <si>
    <t>STOCK</t>
  </si>
  <si>
    <t>PROFIT</t>
  </si>
  <si>
    <t>PersonalCare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</si>
</sst>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rial Black"/>
      <family val="2"/>
    </font>
    <font>
      <b/>
      <sz val="11"/>
      <color theme="1"/>
      <name val="Bahnschrift SemiLight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Font="1" applyBorder="1" applyAlignment="1">
      <alignment horizontal="center"/>
    </xf>
    <xf numFmtId="14" fontId="0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B13" sqref="B13"/>
    </sheetView>
  </sheetViews>
  <sheetFormatPr defaultRowHeight="15" x14ac:dyDescent="0.25"/>
  <cols>
    <col min="1" max="1" width="7.140625" customWidth="1"/>
    <col min="2" max="2" width="20.140625" customWidth="1"/>
    <col min="3" max="3" width="12.7109375" customWidth="1"/>
  </cols>
  <sheetData>
    <row r="1" spans="1:3" x14ac:dyDescent="0.25">
      <c r="A1" s="11" t="s">
        <v>6</v>
      </c>
      <c r="B1" s="11"/>
      <c r="C1" s="11"/>
    </row>
    <row r="2" spans="1:3" x14ac:dyDescent="0.25">
      <c r="A2" s="2" t="s">
        <v>0</v>
      </c>
      <c r="B2" s="2" t="s">
        <v>6</v>
      </c>
      <c r="C2" s="2" t="s">
        <v>1</v>
      </c>
    </row>
    <row r="3" spans="1:3" x14ac:dyDescent="0.25">
      <c r="A3" s="3">
        <f>ROW()-2</f>
        <v>1</v>
      </c>
      <c r="B3" s="3" t="s">
        <v>2</v>
      </c>
      <c r="C3" s="3">
        <v>5</v>
      </c>
    </row>
    <row r="4" spans="1:3" x14ac:dyDescent="0.25">
      <c r="A4" s="3">
        <f t="shared" ref="A4:A7" si="0">ROW()-2</f>
        <v>2</v>
      </c>
      <c r="B4" s="3" t="s">
        <v>3</v>
      </c>
      <c r="C4" s="3">
        <v>12</v>
      </c>
    </row>
    <row r="5" spans="1:3" x14ac:dyDescent="0.25">
      <c r="A5" s="3">
        <f t="shared" si="0"/>
        <v>3</v>
      </c>
      <c r="B5" s="3" t="s">
        <v>32</v>
      </c>
      <c r="C5" s="3">
        <v>18</v>
      </c>
    </row>
    <row r="6" spans="1:3" x14ac:dyDescent="0.25">
      <c r="A6" s="3">
        <f t="shared" si="0"/>
        <v>4</v>
      </c>
      <c r="B6" s="3" t="s">
        <v>4</v>
      </c>
      <c r="C6" s="3">
        <v>12</v>
      </c>
    </row>
    <row r="7" spans="1:3" x14ac:dyDescent="0.25">
      <c r="A7" s="3">
        <f t="shared" si="0"/>
        <v>5</v>
      </c>
      <c r="B7" s="3" t="s">
        <v>5</v>
      </c>
      <c r="C7" s="3">
        <v>28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tabSelected="1" workbookViewId="0">
      <selection activeCell="F22" sqref="F22"/>
    </sheetView>
  </sheetViews>
  <sheetFormatPr defaultRowHeight="15" x14ac:dyDescent="0.25"/>
  <cols>
    <col min="1" max="1" width="7.42578125" style="1" customWidth="1"/>
    <col min="2" max="12" width="18" style="1" customWidth="1"/>
  </cols>
  <sheetData>
    <row r="1" spans="1:10" ht="18.75" x14ac:dyDescent="0.4">
      <c r="A1" s="12" t="s">
        <v>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x14ac:dyDescent="0.25">
      <c r="A2" s="7" t="s">
        <v>0</v>
      </c>
      <c r="B2" s="7" t="s">
        <v>6</v>
      </c>
      <c r="C2" s="7" t="s">
        <v>8</v>
      </c>
      <c r="D2" s="7" t="s">
        <v>9</v>
      </c>
      <c r="E2" s="7" t="s">
        <v>10</v>
      </c>
      <c r="F2" s="7" t="s">
        <v>11</v>
      </c>
      <c r="G2" s="7" t="s">
        <v>1</v>
      </c>
      <c r="H2" s="7" t="s">
        <v>12</v>
      </c>
      <c r="I2" s="7" t="s">
        <v>13</v>
      </c>
      <c r="J2" s="7" t="s">
        <v>14</v>
      </c>
    </row>
    <row r="3" spans="1:10" x14ac:dyDescent="0.25">
      <c r="A3" s="3">
        <v>1</v>
      </c>
      <c r="B3" s="3" t="s">
        <v>2</v>
      </c>
      <c r="C3" s="3" t="s">
        <v>15</v>
      </c>
      <c r="D3" s="3">
        <v>100</v>
      </c>
      <c r="E3" s="3">
        <v>400</v>
      </c>
      <c r="F3" s="3">
        <f>E3*D3</f>
        <v>40000</v>
      </c>
      <c r="G3" s="3">
        <f>IFERROR(VLOOKUP(B3,category!$B$3:$C$7,2,FALSE),"")</f>
        <v>5</v>
      </c>
      <c r="H3" s="3">
        <f>F3*G3%</f>
        <v>2000</v>
      </c>
      <c r="I3" s="3">
        <f>H3+F3</f>
        <v>42000</v>
      </c>
      <c r="J3" s="4">
        <v>46114</v>
      </c>
    </row>
    <row r="4" spans="1:10" x14ac:dyDescent="0.25">
      <c r="A4" s="3">
        <v>2</v>
      </c>
      <c r="B4" s="3" t="s">
        <v>32</v>
      </c>
      <c r="C4" s="3" t="s">
        <v>16</v>
      </c>
      <c r="D4" s="3">
        <v>200</v>
      </c>
      <c r="E4" s="3">
        <v>600</v>
      </c>
      <c r="F4" s="3">
        <f t="shared" ref="F4:F12" si="0">E4*D4</f>
        <v>120000</v>
      </c>
      <c r="G4" s="3">
        <f>IFERROR(VLOOKUP(B4,category!$B$3:$C$7,2,FALSE),"")</f>
        <v>18</v>
      </c>
      <c r="H4" s="3">
        <f t="shared" ref="H4:H12" si="1">F4*G4%</f>
        <v>21600</v>
      </c>
      <c r="I4" s="3">
        <f t="shared" ref="I4:I12" si="2">H4+F4</f>
        <v>141600</v>
      </c>
      <c r="J4" s="4">
        <v>46115</v>
      </c>
    </row>
    <row r="5" spans="1:10" x14ac:dyDescent="0.25">
      <c r="A5" s="3">
        <v>3</v>
      </c>
      <c r="B5" s="3" t="s">
        <v>3</v>
      </c>
      <c r="C5" s="3" t="s">
        <v>24</v>
      </c>
      <c r="D5" s="3">
        <v>50</v>
      </c>
      <c r="E5" s="3">
        <v>32000</v>
      </c>
      <c r="F5" s="3">
        <f t="shared" si="0"/>
        <v>1600000</v>
      </c>
      <c r="G5" s="3">
        <f>IFERROR(VLOOKUP(B5,category!$B$3:$C$7,2,FALSE),"")</f>
        <v>12</v>
      </c>
      <c r="H5" s="3">
        <f t="shared" si="1"/>
        <v>192000</v>
      </c>
      <c r="I5" s="3">
        <f t="shared" si="2"/>
        <v>1792000</v>
      </c>
      <c r="J5" s="4">
        <v>46116</v>
      </c>
    </row>
    <row r="6" spans="1:10" x14ac:dyDescent="0.25">
      <c r="A6" s="3">
        <v>4</v>
      </c>
      <c r="B6" s="3" t="s">
        <v>4</v>
      </c>
      <c r="C6" s="3" t="s">
        <v>17</v>
      </c>
      <c r="D6" s="3">
        <v>70</v>
      </c>
      <c r="E6" s="3">
        <v>1500</v>
      </c>
      <c r="F6" s="3">
        <f t="shared" si="0"/>
        <v>105000</v>
      </c>
      <c r="G6" s="3">
        <f>IFERROR(VLOOKUP(B6,category!$B$3:$C$7,2,FALSE),"")</f>
        <v>12</v>
      </c>
      <c r="H6" s="3">
        <f t="shared" si="1"/>
        <v>12600</v>
      </c>
      <c r="I6" s="3">
        <f t="shared" si="2"/>
        <v>117600</v>
      </c>
      <c r="J6" s="4">
        <v>46117</v>
      </c>
    </row>
    <row r="7" spans="1:10" x14ac:dyDescent="0.25">
      <c r="A7" s="3">
        <v>5</v>
      </c>
      <c r="B7" s="3" t="s">
        <v>2</v>
      </c>
      <c r="C7" s="3" t="s">
        <v>18</v>
      </c>
      <c r="D7" s="3">
        <v>300</v>
      </c>
      <c r="E7" s="3">
        <v>700</v>
      </c>
      <c r="F7" s="3">
        <f t="shared" si="0"/>
        <v>210000</v>
      </c>
      <c r="G7" s="3">
        <f>IFERROR(VLOOKUP(B7,category!$B$3:$C$7,2,FALSE),"")</f>
        <v>5</v>
      </c>
      <c r="H7" s="3">
        <f t="shared" si="1"/>
        <v>10500</v>
      </c>
      <c r="I7" s="3">
        <f t="shared" si="2"/>
        <v>220500</v>
      </c>
      <c r="J7" s="4">
        <v>46118</v>
      </c>
    </row>
    <row r="8" spans="1:10" x14ac:dyDescent="0.25">
      <c r="A8" s="3">
        <v>6</v>
      </c>
      <c r="B8" s="3" t="s">
        <v>32</v>
      </c>
      <c r="C8" s="3" t="s">
        <v>19</v>
      </c>
      <c r="D8" s="3">
        <v>250</v>
      </c>
      <c r="E8" s="3">
        <v>200</v>
      </c>
      <c r="F8" s="3">
        <f t="shared" si="0"/>
        <v>50000</v>
      </c>
      <c r="G8" s="3">
        <f>IFERROR(VLOOKUP(B8,category!$B$3:$C$7,2,FALSE),"")</f>
        <v>18</v>
      </c>
      <c r="H8" s="3">
        <f t="shared" si="1"/>
        <v>9000</v>
      </c>
      <c r="I8" s="3">
        <f t="shared" si="2"/>
        <v>59000</v>
      </c>
      <c r="J8" s="4">
        <v>46119</v>
      </c>
    </row>
    <row r="9" spans="1:10" x14ac:dyDescent="0.25">
      <c r="A9" s="3">
        <v>7</v>
      </c>
      <c r="B9" s="3" t="s">
        <v>5</v>
      </c>
      <c r="C9" s="3" t="s">
        <v>20</v>
      </c>
      <c r="D9" s="3">
        <v>20</v>
      </c>
      <c r="E9" s="3">
        <v>35000</v>
      </c>
      <c r="F9" s="3">
        <f t="shared" si="0"/>
        <v>700000</v>
      </c>
      <c r="G9" s="3">
        <f>IFERROR(VLOOKUP(B9,category!$B$3:$C$7,2,FALSE),"")</f>
        <v>28</v>
      </c>
      <c r="H9" s="3">
        <f t="shared" si="1"/>
        <v>196000.00000000003</v>
      </c>
      <c r="I9" s="3">
        <f t="shared" si="2"/>
        <v>896000</v>
      </c>
      <c r="J9" s="4">
        <v>46120</v>
      </c>
    </row>
    <row r="10" spans="1:10" x14ac:dyDescent="0.25">
      <c r="A10" s="3">
        <v>8</v>
      </c>
      <c r="B10" s="3" t="s">
        <v>4</v>
      </c>
      <c r="C10" s="3" t="s">
        <v>21</v>
      </c>
      <c r="D10" s="3">
        <v>60</v>
      </c>
      <c r="E10" s="3">
        <v>2000</v>
      </c>
      <c r="F10" s="3">
        <f t="shared" si="0"/>
        <v>120000</v>
      </c>
      <c r="G10" s="3">
        <f>IFERROR(VLOOKUP(B10,category!$B$3:$C$7,2,FALSE),"")</f>
        <v>12</v>
      </c>
      <c r="H10" s="3">
        <f t="shared" si="1"/>
        <v>14400</v>
      </c>
      <c r="I10" s="3">
        <f t="shared" si="2"/>
        <v>134400</v>
      </c>
      <c r="J10" s="4">
        <v>46121</v>
      </c>
    </row>
    <row r="11" spans="1:10" x14ac:dyDescent="0.25">
      <c r="A11" s="3">
        <v>9</v>
      </c>
      <c r="B11" s="3" t="s">
        <v>5</v>
      </c>
      <c r="C11" s="3" t="s">
        <v>22</v>
      </c>
      <c r="D11" s="3">
        <v>10</v>
      </c>
      <c r="E11" s="3">
        <v>75000</v>
      </c>
      <c r="F11" s="3">
        <f t="shared" si="0"/>
        <v>750000</v>
      </c>
      <c r="G11" s="3">
        <f>IFERROR(VLOOKUP(B11,category!$B$3:$C$7,2,FALSE),"")</f>
        <v>28</v>
      </c>
      <c r="H11" s="3">
        <f t="shared" si="1"/>
        <v>210000.00000000003</v>
      </c>
      <c r="I11" s="3">
        <f t="shared" si="2"/>
        <v>960000</v>
      </c>
      <c r="J11" s="4">
        <v>46122</v>
      </c>
    </row>
    <row r="12" spans="1:10" x14ac:dyDescent="0.25">
      <c r="A12" s="3">
        <v>10</v>
      </c>
      <c r="B12" s="3" t="s">
        <v>3</v>
      </c>
      <c r="C12" s="3" t="s">
        <v>23</v>
      </c>
      <c r="D12" s="3">
        <v>45</v>
      </c>
      <c r="E12" s="3">
        <v>25000</v>
      </c>
      <c r="F12" s="3">
        <f t="shared" si="0"/>
        <v>1125000</v>
      </c>
      <c r="G12" s="3">
        <f>IFERROR(VLOOKUP(B12,category!$B$3:$C$7,2,FALSE),"")</f>
        <v>12</v>
      </c>
      <c r="H12" s="3">
        <f t="shared" si="1"/>
        <v>135000</v>
      </c>
      <c r="I12" s="3">
        <f t="shared" si="2"/>
        <v>1260000</v>
      </c>
      <c r="J12" s="4">
        <v>46123</v>
      </c>
    </row>
  </sheetData>
  <mergeCells count="1">
    <mergeCell ref="A1:J1"/>
  </mergeCells>
  <dataValidations count="1">
    <dataValidation type="list" allowBlank="1" showInputMessage="1" showErrorMessage="1" sqref="C3:C12">
      <formula1>INDIRECT(SUBSTITUTE(B3,"","_"))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category!$B$3:$B$7</xm:f>
          </x14:formula1>
          <xm:sqref>B3:B12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C3" sqref="C3"/>
    </sheetView>
  </sheetViews>
  <sheetFormatPr defaultRowHeight="15" x14ac:dyDescent="0.25"/>
  <cols>
    <col min="1" max="1" width="8" customWidth="1"/>
    <col min="2" max="3" width="17.28515625" customWidth="1"/>
    <col min="4" max="4" width="13.28515625" customWidth="1"/>
    <col min="5" max="7" width="17.28515625" customWidth="1"/>
    <col min="8" max="8" width="12.7109375" customWidth="1"/>
    <col min="9" max="11" width="17.28515625" customWidth="1"/>
  </cols>
  <sheetData>
    <row r="1" spans="1:11" ht="18.75" x14ac:dyDescent="0.4">
      <c r="A1" s="13" t="s">
        <v>25</v>
      </c>
      <c r="B1" s="13"/>
      <c r="C1" s="13"/>
      <c r="D1" s="13"/>
      <c r="E1" s="13"/>
      <c r="F1" s="13"/>
      <c r="G1" s="13"/>
      <c r="H1" s="13"/>
      <c r="I1" s="13"/>
      <c r="J1" s="13"/>
      <c r="K1" s="13"/>
    </row>
    <row r="2" spans="1:11" x14ac:dyDescent="0.25">
      <c r="A2" s="8" t="s">
        <v>0</v>
      </c>
      <c r="B2" s="8" t="s">
        <v>6</v>
      </c>
      <c r="C2" s="8" t="s">
        <v>8</v>
      </c>
      <c r="D2" s="8" t="s">
        <v>28</v>
      </c>
      <c r="E2" s="8" t="s">
        <v>10</v>
      </c>
      <c r="F2" s="8" t="s">
        <v>27</v>
      </c>
      <c r="G2" s="8" t="s">
        <v>11</v>
      </c>
      <c r="H2" s="8" t="s">
        <v>1</v>
      </c>
      <c r="I2" s="8" t="s">
        <v>12</v>
      </c>
      <c r="J2" s="8" t="s">
        <v>26</v>
      </c>
      <c r="K2" s="8" t="s">
        <v>14</v>
      </c>
    </row>
    <row r="3" spans="1:11" ht="15.75" x14ac:dyDescent="0.25">
      <c r="A3" s="5">
        <v>1</v>
      </c>
      <c r="B3" s="14" t="s">
        <v>2</v>
      </c>
      <c r="C3" s="14" t="s">
        <v>15</v>
      </c>
      <c r="D3" s="5">
        <v>70</v>
      </c>
      <c r="E3" s="5">
        <f>IFERROR(VLOOKUP(C3,'purchase report'!$C$3:$E$12,3,FALSE),"")</f>
        <v>400</v>
      </c>
      <c r="F3" s="5">
        <v>600</v>
      </c>
      <c r="G3" s="5">
        <f>D3*F3</f>
        <v>42000</v>
      </c>
      <c r="H3" s="5">
        <f>IFERROR(VLOOKUP(B3,category!$B$3:$C$7,2,FALSE),"")</f>
        <v>5</v>
      </c>
      <c r="I3" s="5">
        <f t="shared" ref="I3:I12" si="0">F3*H3%</f>
        <v>30</v>
      </c>
      <c r="J3" s="5">
        <f>G3+I3</f>
        <v>42030</v>
      </c>
      <c r="K3" s="6">
        <v>46147</v>
      </c>
    </row>
    <row r="4" spans="1:11" ht="15.75" x14ac:dyDescent="0.25">
      <c r="A4" s="5">
        <v>2</v>
      </c>
      <c r="B4" s="14" t="s">
        <v>32</v>
      </c>
      <c r="C4" s="14" t="s">
        <v>16</v>
      </c>
      <c r="D4" s="5">
        <v>150</v>
      </c>
      <c r="E4" s="5">
        <f>IFERROR(VLOOKUP(C4,'purchase report'!$C$3:$E$12,3,FALSE),"")</f>
        <v>600</v>
      </c>
      <c r="F4" s="5">
        <v>800</v>
      </c>
      <c r="G4" s="5">
        <f t="shared" ref="G4:G12" si="1">D4*F4</f>
        <v>120000</v>
      </c>
      <c r="H4" s="5">
        <f>IFERROR(VLOOKUP(B4,category!$B$3:$C$7,2,FALSE),"")</f>
        <v>18</v>
      </c>
      <c r="I4" s="5">
        <f t="shared" si="0"/>
        <v>144</v>
      </c>
      <c r="J4" s="5">
        <f t="shared" ref="J4:J12" si="2">G4+I4</f>
        <v>120144</v>
      </c>
      <c r="K4" s="6">
        <v>46148</v>
      </c>
    </row>
    <row r="5" spans="1:11" ht="15.75" x14ac:dyDescent="0.25">
      <c r="A5" s="5">
        <v>3</v>
      </c>
      <c r="B5" s="14" t="s">
        <v>3</v>
      </c>
      <c r="C5" s="14" t="s">
        <v>24</v>
      </c>
      <c r="D5" s="5">
        <v>30</v>
      </c>
      <c r="E5" s="5">
        <f>IFERROR(VLOOKUP(C5,'purchase report'!$C$3:$E$12,3,FALSE),"")</f>
        <v>32000</v>
      </c>
      <c r="F5" s="5">
        <v>36000</v>
      </c>
      <c r="G5" s="5">
        <f t="shared" si="1"/>
        <v>1080000</v>
      </c>
      <c r="H5" s="5">
        <f>IFERROR(VLOOKUP(B5,category!$B$3:$C$7,2,FALSE),"")</f>
        <v>12</v>
      </c>
      <c r="I5" s="5">
        <f t="shared" si="0"/>
        <v>4320</v>
      </c>
      <c r="J5" s="5">
        <f t="shared" si="2"/>
        <v>1084320</v>
      </c>
      <c r="K5" s="6">
        <v>46149</v>
      </c>
    </row>
    <row r="6" spans="1:11" ht="15.75" x14ac:dyDescent="0.25">
      <c r="A6" s="5">
        <v>4</v>
      </c>
      <c r="B6" s="14" t="s">
        <v>4</v>
      </c>
      <c r="C6" s="14" t="s">
        <v>17</v>
      </c>
      <c r="D6" s="5">
        <v>65</v>
      </c>
      <c r="E6" s="5">
        <f>IFERROR(VLOOKUP(C6,'purchase report'!$C$3:$E$12,3,FALSE),"")</f>
        <v>1500</v>
      </c>
      <c r="F6" s="5">
        <v>1800</v>
      </c>
      <c r="G6" s="5">
        <f t="shared" si="1"/>
        <v>117000</v>
      </c>
      <c r="H6" s="5">
        <f>IFERROR(VLOOKUP(B6,category!$B$3:$C$7,2,FALSE),"")</f>
        <v>12</v>
      </c>
      <c r="I6" s="5">
        <f t="shared" si="0"/>
        <v>216</v>
      </c>
      <c r="J6" s="5">
        <f t="shared" si="2"/>
        <v>117216</v>
      </c>
      <c r="K6" s="6">
        <v>46150</v>
      </c>
    </row>
    <row r="7" spans="1:11" ht="15.75" x14ac:dyDescent="0.25">
      <c r="A7" s="5">
        <v>5</v>
      </c>
      <c r="B7" s="14" t="s">
        <v>2</v>
      </c>
      <c r="C7" s="14" t="s">
        <v>18</v>
      </c>
      <c r="D7" s="5">
        <v>290</v>
      </c>
      <c r="E7" s="5">
        <f>IFERROR(VLOOKUP(C7,'purchase report'!$C$3:$E$12,3,FALSE),"")</f>
        <v>700</v>
      </c>
      <c r="F7" s="5">
        <v>1200</v>
      </c>
      <c r="G7" s="5">
        <f t="shared" si="1"/>
        <v>348000</v>
      </c>
      <c r="H7" s="5">
        <f>IFERROR(VLOOKUP(B7,category!$B$3:$C$7,2,FALSE),"")</f>
        <v>5</v>
      </c>
      <c r="I7" s="5">
        <f t="shared" si="0"/>
        <v>60</v>
      </c>
      <c r="J7" s="5">
        <f t="shared" si="2"/>
        <v>348060</v>
      </c>
      <c r="K7" s="6">
        <v>46151</v>
      </c>
    </row>
    <row r="8" spans="1:11" ht="15.75" x14ac:dyDescent="0.25">
      <c r="A8" s="5">
        <v>6</v>
      </c>
      <c r="B8" s="14" t="s">
        <v>32</v>
      </c>
      <c r="C8" s="14" t="s">
        <v>19</v>
      </c>
      <c r="D8" s="5">
        <v>100</v>
      </c>
      <c r="E8" s="5">
        <f>IFERROR(VLOOKUP(C8,'purchase report'!$C$3:$E$12,3,FALSE),"")</f>
        <v>200</v>
      </c>
      <c r="F8" s="5">
        <v>350</v>
      </c>
      <c r="G8" s="5">
        <f t="shared" si="1"/>
        <v>35000</v>
      </c>
      <c r="H8" s="5">
        <f>IFERROR(VLOOKUP(B8,category!$B$3:$C$7,2,FALSE),"")</f>
        <v>18</v>
      </c>
      <c r="I8" s="5">
        <f t="shared" si="0"/>
        <v>63</v>
      </c>
      <c r="J8" s="5">
        <f t="shared" si="2"/>
        <v>35063</v>
      </c>
      <c r="K8" s="6">
        <v>46152</v>
      </c>
    </row>
    <row r="9" spans="1:11" ht="15.75" x14ac:dyDescent="0.25">
      <c r="A9" s="5">
        <v>7</v>
      </c>
      <c r="B9" s="14" t="s">
        <v>5</v>
      </c>
      <c r="C9" s="14" t="s">
        <v>20</v>
      </c>
      <c r="D9" s="5">
        <v>15</v>
      </c>
      <c r="E9" s="5">
        <f>IFERROR(VLOOKUP(C9,'purchase report'!$C$3:$E$12,3,FALSE),"")</f>
        <v>35000</v>
      </c>
      <c r="F9" s="5">
        <v>42000</v>
      </c>
      <c r="G9" s="5">
        <f t="shared" si="1"/>
        <v>630000</v>
      </c>
      <c r="H9" s="5">
        <f>IFERROR(VLOOKUP(B9,category!$B$3:$C$7,2,FALSE),"")</f>
        <v>28</v>
      </c>
      <c r="I9" s="5">
        <f t="shared" si="0"/>
        <v>11760.000000000002</v>
      </c>
      <c r="J9" s="5">
        <f t="shared" si="2"/>
        <v>641760</v>
      </c>
      <c r="K9" s="6">
        <v>46153</v>
      </c>
    </row>
    <row r="10" spans="1:11" ht="15.75" x14ac:dyDescent="0.25">
      <c r="A10" s="5">
        <v>8</v>
      </c>
      <c r="B10" s="14" t="s">
        <v>4</v>
      </c>
      <c r="C10" s="14" t="s">
        <v>21</v>
      </c>
      <c r="D10" s="5">
        <v>51</v>
      </c>
      <c r="E10" s="5">
        <f>IFERROR(VLOOKUP(C10,'purchase report'!$C$3:$E$12,3,FALSE),"")</f>
        <v>2000</v>
      </c>
      <c r="F10" s="5">
        <v>2400</v>
      </c>
      <c r="G10" s="5">
        <f t="shared" si="1"/>
        <v>122400</v>
      </c>
      <c r="H10" s="5">
        <f>IFERROR(VLOOKUP(B10,category!$B$3:$C$7,2,FALSE),"")</f>
        <v>12</v>
      </c>
      <c r="I10" s="5">
        <f t="shared" si="0"/>
        <v>288</v>
      </c>
      <c r="J10" s="5">
        <f t="shared" si="2"/>
        <v>122688</v>
      </c>
      <c r="K10" s="6">
        <v>46154</v>
      </c>
    </row>
    <row r="11" spans="1:11" ht="15.75" x14ac:dyDescent="0.25">
      <c r="A11" s="5">
        <v>9</v>
      </c>
      <c r="B11" s="14" t="s">
        <v>5</v>
      </c>
      <c r="C11" s="14" t="s">
        <v>22</v>
      </c>
      <c r="D11" s="5">
        <v>4</v>
      </c>
      <c r="E11" s="5">
        <f>IFERROR(VLOOKUP(C11,'purchase report'!$C$3:$E$12,3,FALSE),"")</f>
        <v>75000</v>
      </c>
      <c r="F11" s="5">
        <v>85000</v>
      </c>
      <c r="G11" s="5">
        <f t="shared" si="1"/>
        <v>340000</v>
      </c>
      <c r="H11" s="5">
        <f>IFERROR(VLOOKUP(B11,category!$B$3:$C$7,2,FALSE),"")</f>
        <v>28</v>
      </c>
      <c r="I11" s="5">
        <f t="shared" si="0"/>
        <v>23800.000000000004</v>
      </c>
      <c r="J11" s="5">
        <f t="shared" si="2"/>
        <v>363800</v>
      </c>
      <c r="K11" s="6">
        <v>46155</v>
      </c>
    </row>
    <row r="12" spans="1:11" ht="15.75" x14ac:dyDescent="0.25">
      <c r="A12" s="5">
        <v>10</v>
      </c>
      <c r="B12" s="14" t="s">
        <v>3</v>
      </c>
      <c r="C12" s="14" t="s">
        <v>23</v>
      </c>
      <c r="D12" s="5">
        <v>34</v>
      </c>
      <c r="E12" s="5">
        <f>IFERROR(VLOOKUP(C12,'purchase report'!$C$3:$E$12,3,FALSE),"")</f>
        <v>25000</v>
      </c>
      <c r="F12" s="5">
        <v>32000</v>
      </c>
      <c r="G12" s="5">
        <f t="shared" si="1"/>
        <v>1088000</v>
      </c>
      <c r="H12" s="5">
        <f>IFERROR(VLOOKUP(B12,category!$B$3:$C$7,2,FALSE),"")</f>
        <v>12</v>
      </c>
      <c r="I12" s="5">
        <f t="shared" si="0"/>
        <v>3840</v>
      </c>
      <c r="J12" s="5">
        <f t="shared" si="2"/>
        <v>1091840</v>
      </c>
      <c r="K12" s="6">
        <v>46156</v>
      </c>
    </row>
  </sheetData>
  <mergeCells count="1">
    <mergeCell ref="A1:K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category!$B$3:$B$7</xm:f>
          </x14:formula1>
          <xm:sqref>B3:B12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selection activeCell="B9" sqref="B9"/>
    </sheetView>
  </sheetViews>
  <sheetFormatPr defaultRowHeight="15" x14ac:dyDescent="0.25"/>
  <cols>
    <col min="1" max="1" width="8.28515625" customWidth="1"/>
    <col min="2" max="3" width="18.140625" customWidth="1"/>
    <col min="4" max="4" width="12.140625" style="10" customWidth="1"/>
    <col min="5" max="5" width="18.140625" style="10" customWidth="1"/>
    <col min="6" max="11" width="18.140625" customWidth="1"/>
  </cols>
  <sheetData>
    <row r="1" spans="1:5" ht="18.75" x14ac:dyDescent="0.4">
      <c r="A1" s="12" t="s">
        <v>29</v>
      </c>
      <c r="B1" s="12"/>
      <c r="C1" s="12"/>
      <c r="D1" s="12"/>
      <c r="E1" s="12"/>
    </row>
    <row r="2" spans="1:5" x14ac:dyDescent="0.25">
      <c r="A2" s="7" t="s">
        <v>0</v>
      </c>
      <c r="B2" s="7" t="s">
        <v>6</v>
      </c>
      <c r="C2" s="7" t="s">
        <v>8</v>
      </c>
      <c r="D2" s="9" t="s">
        <v>30</v>
      </c>
      <c r="E2" s="9" t="s">
        <v>31</v>
      </c>
    </row>
    <row r="3" spans="1:5" x14ac:dyDescent="0.25">
      <c r="A3" s="3">
        <v>1</v>
      </c>
      <c r="B3" s="3" t="s">
        <v>2</v>
      </c>
      <c r="C3" s="3" t="s">
        <v>15</v>
      </c>
      <c r="D3" s="3">
        <f>SUMIF('purchase report'!C3:C12,C3,'purchase report'!D3:D12)-SUMIF('sales report'!C3:C12,C3,'sales report'!D3:D12)</f>
        <v>30</v>
      </c>
      <c r="E3" s="3">
        <f>('sales report'!F3-'purchase report'!E3)*'sales report'!D3</f>
        <v>14000</v>
      </c>
    </row>
    <row r="4" spans="1:5" x14ac:dyDescent="0.25">
      <c r="A4" s="3">
        <v>2</v>
      </c>
      <c r="B4" s="3" t="s">
        <v>32</v>
      </c>
      <c r="C4" s="3" t="s">
        <v>16</v>
      </c>
      <c r="D4" s="3">
        <f>SUMIF('purchase report'!C4:C13,C4,'purchase report'!D4:D13)-SUMIF('sales report'!C4:C13,C4,'sales report'!D4:D13)</f>
        <v>50</v>
      </c>
      <c r="E4" s="3">
        <f>('sales report'!F4-'purchase report'!E4)*'sales report'!D4</f>
        <v>30000</v>
      </c>
    </row>
    <row r="5" spans="1:5" x14ac:dyDescent="0.25">
      <c r="A5" s="3">
        <v>3</v>
      </c>
      <c r="B5" s="3" t="s">
        <v>3</v>
      </c>
      <c r="C5" s="3" t="s">
        <v>24</v>
      </c>
      <c r="D5" s="3">
        <f>SUMIF('purchase report'!C5:C14,C5,'purchase report'!D5:D14)-SUMIF('sales report'!C5:C14,C5,'sales report'!D5:D14)</f>
        <v>20</v>
      </c>
      <c r="E5" s="3">
        <f>('sales report'!F5-'purchase report'!E5)*'sales report'!D5</f>
        <v>120000</v>
      </c>
    </row>
    <row r="6" spans="1:5" x14ac:dyDescent="0.25">
      <c r="A6" s="3">
        <v>4</v>
      </c>
      <c r="B6" s="3" t="s">
        <v>4</v>
      </c>
      <c r="C6" s="3" t="s">
        <v>17</v>
      </c>
      <c r="D6" s="3">
        <f>SUMIF('purchase report'!C6:C15,C6,'purchase report'!D6:D15)-SUMIF('sales report'!C6:C15,C6,'sales report'!D6:D15)</f>
        <v>5</v>
      </c>
      <c r="E6" s="3">
        <f>('sales report'!F6-'purchase report'!E6)*'sales report'!D6</f>
        <v>19500</v>
      </c>
    </row>
    <row r="7" spans="1:5" x14ac:dyDescent="0.25">
      <c r="A7" s="3">
        <v>5</v>
      </c>
      <c r="B7" s="3" t="s">
        <v>2</v>
      </c>
      <c r="C7" s="3" t="s">
        <v>18</v>
      </c>
      <c r="D7" s="3">
        <f>SUMIF('purchase report'!C7:C16,C7,'purchase report'!D7:D16)-SUMIF('sales report'!C7:C16,C7,'sales report'!D7:D16)</f>
        <v>10</v>
      </c>
      <c r="E7" s="3">
        <f>('sales report'!F7-'purchase report'!E7)*'sales report'!D7</f>
        <v>145000</v>
      </c>
    </row>
    <row r="8" spans="1:5" x14ac:dyDescent="0.25">
      <c r="A8" s="3">
        <v>6</v>
      </c>
      <c r="B8" s="3" t="s">
        <v>32</v>
      </c>
      <c r="C8" s="3" t="s">
        <v>19</v>
      </c>
      <c r="D8" s="3">
        <f>SUMIF('purchase report'!C8:C17,C8,'purchase report'!D8:D17)-SUMIF('sales report'!C8:C17,C8,'sales report'!D8:D17)</f>
        <v>150</v>
      </c>
      <c r="E8" s="3">
        <f>('sales report'!F8-'purchase report'!E8)*'sales report'!D8</f>
        <v>15000</v>
      </c>
    </row>
    <row r="9" spans="1:5" x14ac:dyDescent="0.25">
      <c r="A9" s="3">
        <v>7</v>
      </c>
      <c r="B9" s="3" t="s">
        <v>5</v>
      </c>
      <c r="C9" s="3" t="s">
        <v>20</v>
      </c>
      <c r="D9" s="3">
        <f>SUMIF('purchase report'!C9:C18,C9,'purchase report'!D9:D18)-SUMIF('sales report'!C9:C18,C9,'sales report'!D9:D18)</f>
        <v>5</v>
      </c>
      <c r="E9" s="3">
        <f>('sales report'!F9-'purchase report'!E9)*'sales report'!D9</f>
        <v>105000</v>
      </c>
    </row>
    <row r="10" spans="1:5" x14ac:dyDescent="0.25">
      <c r="A10" s="3">
        <v>8</v>
      </c>
      <c r="B10" s="3" t="s">
        <v>4</v>
      </c>
      <c r="C10" s="3" t="s">
        <v>21</v>
      </c>
      <c r="D10" s="3">
        <f>SUMIF('purchase report'!C10:C19,C10,'purchase report'!D10:D19)-SUMIF('sales report'!C10:C19,C10,'sales report'!D10:D19)</f>
        <v>9</v>
      </c>
      <c r="E10" s="3">
        <f>('sales report'!F10-'purchase report'!E10)*'sales report'!D10</f>
        <v>20400</v>
      </c>
    </row>
    <row r="11" spans="1:5" x14ac:dyDescent="0.25">
      <c r="A11" s="3">
        <v>9</v>
      </c>
      <c r="B11" s="3" t="s">
        <v>5</v>
      </c>
      <c r="C11" s="3" t="s">
        <v>22</v>
      </c>
      <c r="D11" s="3">
        <f>SUMIF('purchase report'!C11:C20,C11,'purchase report'!D11:D20)-SUMIF('sales report'!C11:C20,C11,'sales report'!D11:D20)</f>
        <v>6</v>
      </c>
      <c r="E11" s="3">
        <f>('sales report'!F11-'purchase report'!E11)*'sales report'!D11</f>
        <v>40000</v>
      </c>
    </row>
    <row r="12" spans="1:5" x14ac:dyDescent="0.25">
      <c r="A12" s="3">
        <v>10</v>
      </c>
      <c r="B12" s="3" t="s">
        <v>3</v>
      </c>
      <c r="C12" s="3" t="s">
        <v>23</v>
      </c>
      <c r="D12" s="3">
        <f>SUMIF('purchase report'!C12:C21,C12,'purchase report'!D12:D21)-SUMIF('sales report'!C12:C21,C12,'sales report'!D12:D21)</f>
        <v>11</v>
      </c>
      <c r="E12" s="3">
        <f>('sales report'!F12-'purchase report'!E12)*'sales report'!D12</f>
        <v>238000</v>
      </c>
    </row>
  </sheetData>
  <mergeCells count="1">
    <mergeCell ref="A1:E1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category!$B$3:$B$7</xm:f>
          </x14:formula1>
          <xm:sqref>B3:B12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C2" sqref="C2"/>
    </sheetView>
  </sheetViews>
  <sheetFormatPr defaultRowHeight="15" x14ac:dyDescent="0.25"/>
  <cols>
    <col min="2" max="2" width="16.85546875" customWidth="1"/>
    <col min="3" max="3" width="18.28515625" customWidth="1"/>
  </cols>
  <sheetData>
    <row r="1" spans="1:3" x14ac:dyDescent="0.25">
      <c r="A1" s="7" t="s">
        <v>0</v>
      </c>
      <c r="B1" s="7" t="s">
        <v>6</v>
      </c>
      <c r="C1" s="7" t="s">
        <v>8</v>
      </c>
    </row>
    <row r="2" spans="1:3" x14ac:dyDescent="0.25">
      <c r="A2" s="3">
        <v>1</v>
      </c>
      <c r="B2" s="3" t="s">
        <v>2</v>
      </c>
      <c r="C2" s="3" t="s">
        <v>15</v>
      </c>
    </row>
    <row r="3" spans="1:3" x14ac:dyDescent="0.25">
      <c r="A3" s="3">
        <v>2</v>
      </c>
      <c r="B3" s="3" t="s">
        <v>2</v>
      </c>
      <c r="C3" s="3" t="s">
        <v>18</v>
      </c>
    </row>
    <row r="4" spans="1:3" x14ac:dyDescent="0.25">
      <c r="A4" s="3">
        <v>3</v>
      </c>
      <c r="B4" s="3" t="s">
        <v>32</v>
      </c>
      <c r="C4" s="3" t="s">
        <v>16</v>
      </c>
    </row>
    <row r="5" spans="1:3" x14ac:dyDescent="0.25">
      <c r="A5" s="3">
        <v>4</v>
      </c>
      <c r="B5" s="3" t="s">
        <v>32</v>
      </c>
      <c r="C5" s="3" t="s">
        <v>19</v>
      </c>
    </row>
    <row r="6" spans="1:3" x14ac:dyDescent="0.25">
      <c r="A6" s="3">
        <v>5</v>
      </c>
      <c r="B6" s="3" t="s">
        <v>3</v>
      </c>
      <c r="C6" s="3" t="s">
        <v>24</v>
      </c>
    </row>
    <row r="7" spans="1:3" x14ac:dyDescent="0.25">
      <c r="A7" s="3">
        <v>6</v>
      </c>
      <c r="B7" s="3" t="s">
        <v>3</v>
      </c>
      <c r="C7" s="3" t="s">
        <v>23</v>
      </c>
    </row>
    <row r="8" spans="1:3" x14ac:dyDescent="0.25">
      <c r="A8" s="3">
        <v>7</v>
      </c>
      <c r="B8" s="3" t="s">
        <v>4</v>
      </c>
      <c r="C8" s="3" t="s">
        <v>17</v>
      </c>
    </row>
    <row r="9" spans="1:3" x14ac:dyDescent="0.25">
      <c r="A9" s="3">
        <v>8</v>
      </c>
      <c r="B9" s="3" t="s">
        <v>4</v>
      </c>
      <c r="C9" s="3" t="s">
        <v>21</v>
      </c>
    </row>
    <row r="10" spans="1:3" x14ac:dyDescent="0.25">
      <c r="A10" s="3">
        <v>9</v>
      </c>
      <c r="B10" s="3" t="s">
        <v>5</v>
      </c>
      <c r="C10" s="3" t="s">
        <v>20</v>
      </c>
    </row>
    <row r="11" spans="1:3" x14ac:dyDescent="0.25">
      <c r="A11" s="3">
        <v>10</v>
      </c>
      <c r="B11" s="3" t="s">
        <v>5</v>
      </c>
      <c r="C11" s="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category</vt:lpstr>
      <vt:lpstr>purchase report</vt:lpstr>
      <vt:lpstr>sales report</vt:lpstr>
      <vt:lpstr>stock report</vt:lpstr>
      <vt:lpstr>subcategory</vt:lpstr>
      <vt:lpstr>Clothes</vt:lpstr>
      <vt:lpstr>Electronics</vt:lpstr>
      <vt:lpstr>Furniture</vt:lpstr>
      <vt:lpstr>Kitchen</vt:lpstr>
      <vt:lpstr>PersonalCare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PC14</dc:creator>
  <cp:lastModifiedBy>PC14</cp:lastModifiedBy>
  <dcterms:created xsi:type="dcterms:W3CDTF">2026-08-18T08:55:10Z</dcterms:created>
  <dcterms:modified xsi:type="dcterms:W3CDTF">2026-08-20T09:01:39Z</dcterms:modified>
</cp:coreProperties>
</file>