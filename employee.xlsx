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sci\Dataset\"/>
    </mc:Choice>
  </mc:AlternateContent>
  <bookViews>
    <workbookView xWindow="0" yWindow="0" windowWidth="19200" windowHeight="11595" activeTab="1"/>
  </bookViews>
  <sheets>
    <sheet name="EMP" sheetId="1" r:id="rId1"/>
    <sheet name="ATTENDENCE" sheetId="2" r:id="rId2"/>
    <sheet name="SALARY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" i="2" l="1"/>
  <c r="AJ7" i="2"/>
  <c r="AJ8" i="2"/>
  <c r="AJ9" i="2"/>
  <c r="AJ10" i="2"/>
  <c r="AJ11" i="2"/>
  <c r="AJ12" i="2"/>
  <c r="AJ13" i="2"/>
  <c r="AJ14" i="2"/>
  <c r="AJ5" i="2"/>
  <c r="AI6" i="2"/>
  <c r="AI7" i="2"/>
  <c r="AI8" i="2"/>
  <c r="AI9" i="2"/>
  <c r="AI10" i="2"/>
  <c r="AI11" i="2"/>
  <c r="AI12" i="2"/>
  <c r="AI13" i="2"/>
  <c r="AI14" i="2"/>
  <c r="AH6" i="2"/>
  <c r="AH7" i="2"/>
  <c r="AH8" i="2"/>
  <c r="AH9" i="2"/>
  <c r="AH10" i="2"/>
  <c r="AH11" i="2"/>
  <c r="AH12" i="2"/>
  <c r="AH13" i="2"/>
  <c r="AH14" i="2"/>
  <c r="AI5" i="2"/>
  <c r="AH5" i="2"/>
  <c r="B6" i="2"/>
  <c r="B7" i="2"/>
  <c r="B8" i="2"/>
  <c r="B9" i="2"/>
  <c r="B10" i="2"/>
  <c r="B11" i="2"/>
  <c r="B12" i="2"/>
  <c r="B13" i="2"/>
  <c r="B14" i="2"/>
  <c r="B5" i="2"/>
  <c r="A5" i="2"/>
  <c r="A6" i="2"/>
  <c r="A7" i="2"/>
  <c r="A8" i="2"/>
  <c r="A9" i="2"/>
  <c r="A10" i="2"/>
  <c r="A11" i="2"/>
  <c r="A12" i="2"/>
  <c r="A13" i="2"/>
  <c r="A14" i="2"/>
  <c r="AD4" i="2"/>
  <c r="AE4" i="2"/>
  <c r="AF4" i="2"/>
  <c r="AG4" i="2"/>
  <c r="W4" i="2"/>
  <c r="X4" i="2"/>
  <c r="Y4" i="2"/>
  <c r="Z4" i="2"/>
  <c r="AA4" i="2"/>
  <c r="AB4" i="2"/>
  <c r="A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C4" i="2"/>
  <c r="A4" i="1"/>
  <c r="A5" i="1"/>
  <c r="A6" i="1"/>
  <c r="A7" i="1"/>
  <c r="A8" i="1"/>
  <c r="A9" i="1"/>
  <c r="A10" i="1"/>
  <c r="A11" i="1"/>
  <c r="A12" i="1"/>
  <c r="A3" i="1"/>
</calcChain>
</file>

<file path=xl/sharedStrings.xml><?xml version="1.0" encoding="utf-8"?>
<sst xmlns="http://schemas.openxmlformats.org/spreadsheetml/2006/main" count="374" uniqueCount="36">
  <si>
    <t>EMPLOYEE</t>
  </si>
  <si>
    <t>EMP_NO</t>
  </si>
  <si>
    <t>EMP_NAME</t>
  </si>
  <si>
    <t>DESIGNATION</t>
  </si>
  <si>
    <t>SALARY</t>
  </si>
  <si>
    <t>SNEHA</t>
  </si>
  <si>
    <t>YASHVI</t>
  </si>
  <si>
    <t>HASTI</t>
  </si>
  <si>
    <t>DWARKESH</t>
  </si>
  <si>
    <t>FENA</t>
  </si>
  <si>
    <t>VISHVA</t>
  </si>
  <si>
    <t>DEEP</t>
  </si>
  <si>
    <t>KEYUR</t>
  </si>
  <si>
    <t>DHRUVI</t>
  </si>
  <si>
    <t>RAJVI</t>
  </si>
  <si>
    <t>DATA ANALYST</t>
  </si>
  <si>
    <t>SA</t>
  </si>
  <si>
    <t>ACCOUNTANT</t>
  </si>
  <si>
    <t>WEB DEVELOPER</t>
  </si>
  <si>
    <t>SOFTWARE DEVELOPER</t>
  </si>
  <si>
    <t>WEB DESIGNER</t>
  </si>
  <si>
    <t>CLERK</t>
  </si>
  <si>
    <t>MANAGER</t>
  </si>
  <si>
    <t>HR EXECUTIVE</t>
  </si>
  <si>
    <t>ATTENDENCE REPORT</t>
  </si>
  <si>
    <t>WEDNESDAY</t>
  </si>
  <si>
    <t>THURSDAY</t>
  </si>
  <si>
    <t>FRIDAY</t>
  </si>
  <si>
    <t>SATURDAY</t>
  </si>
  <si>
    <t>SUNDAY</t>
  </si>
  <si>
    <t>MONDAY</t>
  </si>
  <si>
    <t>TUESDAY</t>
  </si>
  <si>
    <t>P</t>
  </si>
  <si>
    <t>A</t>
  </si>
  <si>
    <t>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</si>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</sst>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4F59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 vertical="center" textRotation="90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17" fontId="5" fillId="5" borderId="2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F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8" sqref="F8"/>
    </sheetView>
  </sheetViews>
  <sheetFormatPr defaultRowHeight="15" x14ac:dyDescent="0.25"/>
  <cols>
    <col min="2" max="2" width="17.5703125" customWidth="1"/>
    <col min="3" max="3" width="24.140625" customWidth="1"/>
    <col min="4" max="4" width="17.7109375" customWidth="1"/>
  </cols>
  <sheetData>
    <row r="1" spans="1:4" ht="21" x14ac:dyDescent="0.35">
      <c r="A1" s="1" t="s">
        <v>0</v>
      </c>
      <c r="B1" s="1"/>
      <c r="C1" s="1"/>
      <c r="D1" s="1"/>
    </row>
    <row r="2" spans="1:4" ht="15.75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>
        <f>ROW()-2</f>
        <v>1</v>
      </c>
      <c r="B3" s="3" t="s">
        <v>5</v>
      </c>
      <c r="C3" s="3" t="s">
        <v>15</v>
      </c>
      <c r="D3" s="3">
        <v>90000</v>
      </c>
    </row>
    <row r="4" spans="1:4" x14ac:dyDescent="0.25">
      <c r="A4" s="3">
        <f t="shared" ref="A4:A12" si="0">ROW()-2</f>
        <v>2</v>
      </c>
      <c r="B4" s="3" t="s">
        <v>6</v>
      </c>
      <c r="C4" s="3" t="s">
        <v>17</v>
      </c>
      <c r="D4" s="3">
        <v>60000</v>
      </c>
    </row>
    <row r="5" spans="1:4" x14ac:dyDescent="0.25">
      <c r="A5" s="3">
        <f t="shared" si="0"/>
        <v>3</v>
      </c>
      <c r="B5" s="3" t="s">
        <v>7</v>
      </c>
      <c r="C5" s="3" t="s">
        <v>18</v>
      </c>
      <c r="D5" s="3">
        <v>65000</v>
      </c>
    </row>
    <row r="6" spans="1:4" x14ac:dyDescent="0.25">
      <c r="A6" s="3">
        <f t="shared" si="0"/>
        <v>4</v>
      </c>
      <c r="B6" s="3" t="s">
        <v>8</v>
      </c>
      <c r="C6" s="3" t="s">
        <v>15</v>
      </c>
      <c r="D6" s="3">
        <v>95000</v>
      </c>
    </row>
    <row r="7" spans="1:4" x14ac:dyDescent="0.25">
      <c r="A7" s="3">
        <f t="shared" si="0"/>
        <v>5</v>
      </c>
      <c r="B7" s="3" t="s">
        <v>9</v>
      </c>
      <c r="C7" s="3" t="s">
        <v>19</v>
      </c>
      <c r="D7" s="3">
        <v>60000</v>
      </c>
    </row>
    <row r="8" spans="1:4" x14ac:dyDescent="0.25">
      <c r="A8" s="3">
        <f t="shared" si="0"/>
        <v>6</v>
      </c>
      <c r="B8" s="3" t="s">
        <v>10</v>
      </c>
      <c r="C8" s="3" t="s">
        <v>20</v>
      </c>
      <c r="D8" s="3">
        <v>65000</v>
      </c>
    </row>
    <row r="9" spans="1:4" x14ac:dyDescent="0.25">
      <c r="A9" s="3">
        <f t="shared" si="0"/>
        <v>7</v>
      </c>
      <c r="B9" s="3" t="s">
        <v>11</v>
      </c>
      <c r="C9" s="3" t="s">
        <v>21</v>
      </c>
      <c r="D9" s="3">
        <v>35000</v>
      </c>
    </row>
    <row r="10" spans="1:4" x14ac:dyDescent="0.25">
      <c r="A10" s="3">
        <f t="shared" si="0"/>
        <v>8</v>
      </c>
      <c r="B10" s="3" t="s">
        <v>12</v>
      </c>
      <c r="C10" s="3" t="s">
        <v>22</v>
      </c>
      <c r="D10" s="3">
        <v>45000</v>
      </c>
    </row>
    <row r="11" spans="1:4" x14ac:dyDescent="0.25">
      <c r="A11" s="3">
        <f t="shared" si="0"/>
        <v>9</v>
      </c>
      <c r="B11" s="3" t="s">
        <v>13</v>
      </c>
      <c r="C11" s="3" t="s">
        <v>21</v>
      </c>
      <c r="D11" s="3">
        <v>25000</v>
      </c>
    </row>
    <row r="12" spans="1:4" x14ac:dyDescent="0.25">
      <c r="A12" s="3">
        <f t="shared" si="0"/>
        <v>10</v>
      </c>
      <c r="B12" s="3" t="s">
        <v>14</v>
      </c>
      <c r="C12" s="3" t="s">
        <v>23</v>
      </c>
      <c r="D12" s="3">
        <v>75000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14"/>
  <sheetViews>
    <sheetView tabSelected="1" workbookViewId="0">
      <selection activeCell="C23" sqref="C23"/>
    </sheetView>
  </sheetViews>
  <sheetFormatPr defaultRowHeight="15" x14ac:dyDescent="0.25"/>
  <cols>
    <col min="2" max="2" width="14.7109375" customWidth="1"/>
    <col min="3" max="3" width="5" customWidth="1"/>
    <col min="4" max="4" width="5.140625" customWidth="1"/>
    <col min="5" max="33" width="5" customWidth="1"/>
    <col min="34" max="36" width="5.140625" customWidth="1"/>
  </cols>
  <sheetData>
    <row r="2" spans="1:36" ht="21" x14ac:dyDescent="0.35">
      <c r="A2" s="7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9"/>
    </row>
    <row r="3" spans="1:36" ht="89.25" customHeight="1" x14ac:dyDescent="0.25">
      <c r="A3" s="11">
        <v>46204</v>
      </c>
      <c r="B3" s="12"/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25</v>
      </c>
      <c r="R3" s="6" t="s">
        <v>26</v>
      </c>
      <c r="S3" s="6" t="s">
        <v>27</v>
      </c>
      <c r="T3" s="6" t="s">
        <v>28</v>
      </c>
      <c r="U3" s="6" t="s">
        <v>29</v>
      </c>
      <c r="V3" s="6" t="s">
        <v>30</v>
      </c>
      <c r="W3" s="6" t="s">
        <v>31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6" t="s">
        <v>25</v>
      </c>
      <c r="AF3" s="6" t="s">
        <v>26</v>
      </c>
      <c r="AG3" s="6" t="s">
        <v>27</v>
      </c>
      <c r="AH3" s="13" t="s">
        <v>35</v>
      </c>
      <c r="AI3" s="14"/>
      <c r="AJ3" s="10"/>
    </row>
    <row r="4" spans="1:36" ht="15.75" x14ac:dyDescent="0.25">
      <c r="A4" s="5" t="s">
        <v>1</v>
      </c>
      <c r="B4" s="5" t="s">
        <v>2</v>
      </c>
      <c r="C4" s="5">
        <f>COLUMN()-2</f>
        <v>1</v>
      </c>
      <c r="D4" s="5">
        <f t="shared" ref="D4:AG4" si="0">COLUMN()-2</f>
        <v>2</v>
      </c>
      <c r="E4" s="5">
        <f t="shared" si="0"/>
        <v>3</v>
      </c>
      <c r="F4" s="5">
        <f t="shared" si="0"/>
        <v>4</v>
      </c>
      <c r="G4" s="5">
        <f t="shared" si="0"/>
        <v>5</v>
      </c>
      <c r="H4" s="5">
        <f t="shared" si="0"/>
        <v>6</v>
      </c>
      <c r="I4" s="5">
        <f t="shared" si="0"/>
        <v>7</v>
      </c>
      <c r="J4" s="5">
        <f t="shared" si="0"/>
        <v>8</v>
      </c>
      <c r="K4" s="5">
        <f t="shared" si="0"/>
        <v>9</v>
      </c>
      <c r="L4" s="5">
        <f t="shared" si="0"/>
        <v>10</v>
      </c>
      <c r="M4" s="5">
        <f t="shared" si="0"/>
        <v>11</v>
      </c>
      <c r="N4" s="5">
        <f t="shared" si="0"/>
        <v>12</v>
      </c>
      <c r="O4" s="5">
        <f t="shared" si="0"/>
        <v>13</v>
      </c>
      <c r="P4" s="5">
        <f t="shared" si="0"/>
        <v>14</v>
      </c>
      <c r="Q4" s="5">
        <f t="shared" si="0"/>
        <v>15</v>
      </c>
      <c r="R4" s="5">
        <f t="shared" si="0"/>
        <v>16</v>
      </c>
      <c r="S4" s="5">
        <f t="shared" si="0"/>
        <v>17</v>
      </c>
      <c r="T4" s="5">
        <f t="shared" si="0"/>
        <v>18</v>
      </c>
      <c r="U4" s="5">
        <f t="shared" si="0"/>
        <v>19</v>
      </c>
      <c r="V4" s="5">
        <f t="shared" si="0"/>
        <v>20</v>
      </c>
      <c r="W4" s="5">
        <f t="shared" si="0"/>
        <v>21</v>
      </c>
      <c r="X4" s="5">
        <f t="shared" si="0"/>
        <v>22</v>
      </c>
      <c r="Y4" s="5">
        <f t="shared" si="0"/>
        <v>23</v>
      </c>
      <c r="Z4" s="5">
        <f t="shared" si="0"/>
        <v>24</v>
      </c>
      <c r="AA4" s="5">
        <f t="shared" si="0"/>
        <v>25</v>
      </c>
      <c r="AB4" s="5">
        <f t="shared" si="0"/>
        <v>26</v>
      </c>
      <c r="AC4" s="5">
        <f t="shared" si="0"/>
        <v>27</v>
      </c>
      <c r="AD4" s="5">
        <f t="shared" si="0"/>
        <v>28</v>
      </c>
      <c r="AE4" s="5">
        <f t="shared" si="0"/>
        <v>29</v>
      </c>
      <c r="AF4" s="5">
        <f t="shared" si="0"/>
        <v>30</v>
      </c>
      <c r="AG4" s="5">
        <f t="shared" si="0"/>
        <v>31</v>
      </c>
      <c r="AH4" s="15" t="s">
        <v>32</v>
      </c>
      <c r="AI4" s="15" t="s">
        <v>33</v>
      </c>
      <c r="AJ4" s="15" t="s">
        <v>34</v>
      </c>
    </row>
    <row r="5" spans="1:36" x14ac:dyDescent="0.25">
      <c r="A5" s="3">
        <f>ROW()-4</f>
        <v>1</v>
      </c>
      <c r="B5" s="16" t="str">
        <f>IFERROR(VLOOKUP(A5,EMP!$A$3:$B$12,2,FALSE),"")</f>
        <v>SNEHA</v>
      </c>
      <c r="C5" s="3" t="s">
        <v>32</v>
      </c>
      <c r="D5" s="3" t="s">
        <v>32</v>
      </c>
      <c r="E5" s="3" t="s">
        <v>32</v>
      </c>
      <c r="F5" s="3" t="s">
        <v>32</v>
      </c>
      <c r="G5" s="4" t="s">
        <v>34</v>
      </c>
      <c r="H5" s="3" t="s">
        <v>33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4" t="s">
        <v>34</v>
      </c>
      <c r="O5" s="3" t="s">
        <v>32</v>
      </c>
      <c r="P5" s="3" t="s">
        <v>32</v>
      </c>
      <c r="Q5" s="3" t="s">
        <v>32</v>
      </c>
      <c r="R5" s="3" t="s">
        <v>33</v>
      </c>
      <c r="S5" s="3" t="s">
        <v>32</v>
      </c>
      <c r="T5" s="3" t="s">
        <v>32</v>
      </c>
      <c r="U5" s="4" t="s">
        <v>34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4" t="s">
        <v>34</v>
      </c>
      <c r="AC5" s="3" t="s">
        <v>32</v>
      </c>
      <c r="AD5" s="3" t="s">
        <v>32</v>
      </c>
      <c r="AE5" s="3" t="s">
        <v>32</v>
      </c>
      <c r="AF5" s="3" t="s">
        <v>32</v>
      </c>
      <c r="AG5" s="3" t="s">
        <v>33</v>
      </c>
      <c r="AH5" s="3">
        <f>COUNTIF(C5:AF5,"P")</f>
        <v>24</v>
      </c>
      <c r="AI5" s="3">
        <f>COUNTIF(C5:AG5,"A")</f>
        <v>3</v>
      </c>
      <c r="AJ5" s="3">
        <f>COUNTIF(C5:AG5,"H")</f>
        <v>4</v>
      </c>
    </row>
    <row r="6" spans="1:36" x14ac:dyDescent="0.25">
      <c r="A6" s="3">
        <f t="shared" ref="A6:A14" si="1">ROW()-4</f>
        <v>2</v>
      </c>
      <c r="B6" s="16" t="str">
        <f>IFERROR(VLOOKUP(A6,EMP!$A$3:$B$12,2,FALSE),"")</f>
        <v>YASHVI</v>
      </c>
      <c r="C6" s="3" t="s">
        <v>32</v>
      </c>
      <c r="D6" s="3" t="s">
        <v>32</v>
      </c>
      <c r="E6" s="3" t="s">
        <v>32</v>
      </c>
      <c r="F6" s="3" t="s">
        <v>33</v>
      </c>
      <c r="G6" s="4" t="s">
        <v>34</v>
      </c>
      <c r="H6" s="3" t="s">
        <v>33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4" t="s">
        <v>34</v>
      </c>
      <c r="O6" s="3" t="s">
        <v>32</v>
      </c>
      <c r="P6" s="3" t="s">
        <v>33</v>
      </c>
      <c r="Q6" s="3" t="s">
        <v>32</v>
      </c>
      <c r="R6" s="3" t="s">
        <v>32</v>
      </c>
      <c r="S6" s="3" t="s">
        <v>32</v>
      </c>
      <c r="T6" s="3" t="s">
        <v>32</v>
      </c>
      <c r="U6" s="4" t="s">
        <v>34</v>
      </c>
      <c r="V6" s="3" t="s">
        <v>32</v>
      </c>
      <c r="W6" s="3" t="s">
        <v>32</v>
      </c>
      <c r="X6" s="3" t="s">
        <v>32</v>
      </c>
      <c r="Y6" s="3" t="s">
        <v>32</v>
      </c>
      <c r="Z6" s="3" t="s">
        <v>32</v>
      </c>
      <c r="AA6" s="3" t="s">
        <v>33</v>
      </c>
      <c r="AB6" s="4" t="s">
        <v>34</v>
      </c>
      <c r="AC6" s="3" t="s">
        <v>32</v>
      </c>
      <c r="AD6" s="3" t="s">
        <v>32</v>
      </c>
      <c r="AE6" s="3" t="s">
        <v>32</v>
      </c>
      <c r="AF6" s="3" t="s">
        <v>32</v>
      </c>
      <c r="AG6" s="3" t="s">
        <v>32</v>
      </c>
      <c r="AH6" s="3">
        <f t="shared" ref="AH6:AH14" si="2">COUNTIF(C6:AF6,"P")</f>
        <v>22</v>
      </c>
      <c r="AI6" s="3">
        <f t="shared" ref="AI6:AI14" si="3">COUNTIF(C6:AG6,"A")</f>
        <v>4</v>
      </c>
      <c r="AJ6" s="3">
        <f t="shared" ref="AJ6:AJ14" si="4">COUNTIF(C6:AG6,"H")</f>
        <v>4</v>
      </c>
    </row>
    <row r="7" spans="1:36" x14ac:dyDescent="0.25">
      <c r="A7" s="3">
        <f t="shared" si="1"/>
        <v>3</v>
      </c>
      <c r="B7" s="16" t="str">
        <f>IFERROR(VLOOKUP(A7,EMP!$A$3:$B$12,2,FALSE),"")</f>
        <v>HASTI</v>
      </c>
      <c r="C7" s="3" t="s">
        <v>32</v>
      </c>
      <c r="D7" s="3" t="s">
        <v>32</v>
      </c>
      <c r="E7" s="3" t="s">
        <v>32</v>
      </c>
      <c r="F7" s="3" t="s">
        <v>32</v>
      </c>
      <c r="G7" s="4" t="s">
        <v>34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4" t="s">
        <v>34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 t="s">
        <v>32</v>
      </c>
      <c r="U7" s="4" t="s">
        <v>34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4" t="s">
        <v>34</v>
      </c>
      <c r="AC7" s="3" t="s">
        <v>32</v>
      </c>
      <c r="AD7" s="3" t="s">
        <v>32</v>
      </c>
      <c r="AE7" s="3" t="s">
        <v>32</v>
      </c>
      <c r="AF7" s="3" t="s">
        <v>32</v>
      </c>
      <c r="AG7" s="3" t="s">
        <v>32</v>
      </c>
      <c r="AH7" s="3">
        <f t="shared" si="2"/>
        <v>20</v>
      </c>
      <c r="AI7" s="3">
        <f t="shared" si="3"/>
        <v>6</v>
      </c>
      <c r="AJ7" s="3">
        <f t="shared" si="4"/>
        <v>4</v>
      </c>
    </row>
    <row r="8" spans="1:36" x14ac:dyDescent="0.25">
      <c r="A8" s="3">
        <f t="shared" si="1"/>
        <v>4</v>
      </c>
      <c r="B8" s="16" t="str">
        <f>IFERROR(VLOOKUP(A8,EMP!$A$3:$B$12,2,FALSE),"")</f>
        <v>DWARKESH</v>
      </c>
      <c r="C8" s="3" t="s">
        <v>32</v>
      </c>
      <c r="D8" s="3" t="s">
        <v>32</v>
      </c>
      <c r="E8" s="3" t="s">
        <v>33</v>
      </c>
      <c r="F8" s="3" t="s">
        <v>32</v>
      </c>
      <c r="G8" s="4" t="s">
        <v>34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4" t="s">
        <v>34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33</v>
      </c>
      <c r="U8" s="4" t="s">
        <v>34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32</v>
      </c>
      <c r="AA8" s="3" t="s">
        <v>32</v>
      </c>
      <c r="AB8" s="4" t="s">
        <v>34</v>
      </c>
      <c r="AC8" s="3" t="s">
        <v>32</v>
      </c>
      <c r="AD8" s="3" t="s">
        <v>32</v>
      </c>
      <c r="AE8" s="3" t="s">
        <v>32</v>
      </c>
      <c r="AF8" s="3" t="s">
        <v>33</v>
      </c>
      <c r="AG8" s="3" t="s">
        <v>32</v>
      </c>
      <c r="AH8" s="3">
        <f t="shared" si="2"/>
        <v>23</v>
      </c>
      <c r="AI8" s="3">
        <f t="shared" si="3"/>
        <v>3</v>
      </c>
      <c r="AJ8" s="3">
        <f t="shared" si="4"/>
        <v>4</v>
      </c>
    </row>
    <row r="9" spans="1:36" x14ac:dyDescent="0.25">
      <c r="A9" s="3">
        <f t="shared" si="1"/>
        <v>5</v>
      </c>
      <c r="B9" s="16" t="str">
        <f>IFERROR(VLOOKUP(A9,EMP!$A$3:$B$12,2,FALSE),"")</f>
        <v>FENA</v>
      </c>
      <c r="C9" s="3" t="s">
        <v>32</v>
      </c>
      <c r="D9" s="3" t="s">
        <v>32</v>
      </c>
      <c r="E9" s="3" t="s">
        <v>32</v>
      </c>
      <c r="F9" s="3" t="s">
        <v>32</v>
      </c>
      <c r="G9" s="4" t="s">
        <v>34</v>
      </c>
      <c r="H9" s="3" t="s">
        <v>32</v>
      </c>
      <c r="I9" s="3" t="s">
        <v>32</v>
      </c>
      <c r="J9" s="3" t="s">
        <v>32</v>
      </c>
      <c r="K9" s="3" t="s">
        <v>33</v>
      </c>
      <c r="L9" s="3" t="s">
        <v>32</v>
      </c>
      <c r="M9" s="3" t="s">
        <v>32</v>
      </c>
      <c r="N9" s="4" t="s">
        <v>34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 t="s">
        <v>32</v>
      </c>
      <c r="U9" s="4" t="s">
        <v>34</v>
      </c>
      <c r="V9" s="3" t="s">
        <v>32</v>
      </c>
      <c r="W9" s="3" t="s">
        <v>32</v>
      </c>
      <c r="X9" s="3" t="s">
        <v>32</v>
      </c>
      <c r="Y9" s="3" t="s">
        <v>32</v>
      </c>
      <c r="Z9" s="3" t="s">
        <v>32</v>
      </c>
      <c r="AA9" s="3" t="s">
        <v>33</v>
      </c>
      <c r="AB9" s="4" t="s">
        <v>34</v>
      </c>
      <c r="AC9" s="3" t="s">
        <v>32</v>
      </c>
      <c r="AD9" s="3" t="s">
        <v>32</v>
      </c>
      <c r="AE9" s="3" t="s">
        <v>32</v>
      </c>
      <c r="AF9" s="3" t="s">
        <v>32</v>
      </c>
      <c r="AG9" s="3" t="s">
        <v>32</v>
      </c>
      <c r="AH9" s="3">
        <f t="shared" si="2"/>
        <v>24</v>
      </c>
      <c r="AI9" s="3">
        <f t="shared" si="3"/>
        <v>2</v>
      </c>
      <c r="AJ9" s="3">
        <f t="shared" si="4"/>
        <v>4</v>
      </c>
    </row>
    <row r="10" spans="1:36" x14ac:dyDescent="0.25">
      <c r="A10" s="3">
        <f t="shared" si="1"/>
        <v>6</v>
      </c>
      <c r="B10" s="16" t="str">
        <f>IFERROR(VLOOKUP(A10,EMP!$A$3:$B$12,2,FALSE),"")</f>
        <v>VISHVA</v>
      </c>
      <c r="C10" s="3" t="s">
        <v>32</v>
      </c>
      <c r="D10" s="3" t="s">
        <v>32</v>
      </c>
      <c r="E10" s="3" t="s">
        <v>32</v>
      </c>
      <c r="F10" s="3" t="s">
        <v>32</v>
      </c>
      <c r="G10" s="4" t="s">
        <v>34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4" t="s">
        <v>34</v>
      </c>
      <c r="O10" s="3" t="s">
        <v>32</v>
      </c>
      <c r="P10" s="3" t="s">
        <v>32</v>
      </c>
      <c r="Q10" s="3" t="s">
        <v>33</v>
      </c>
      <c r="R10" s="3" t="s">
        <v>32</v>
      </c>
      <c r="S10" s="3" t="s">
        <v>32</v>
      </c>
      <c r="T10" s="3" t="s">
        <v>32</v>
      </c>
      <c r="U10" s="4" t="s">
        <v>34</v>
      </c>
      <c r="V10" s="3" t="s">
        <v>32</v>
      </c>
      <c r="W10" s="3" t="s">
        <v>32</v>
      </c>
      <c r="X10" s="3" t="s">
        <v>32</v>
      </c>
      <c r="Y10" s="3" t="s">
        <v>32</v>
      </c>
      <c r="Z10" s="3" t="s">
        <v>32</v>
      </c>
      <c r="AA10" s="3" t="s">
        <v>32</v>
      </c>
      <c r="AB10" s="4" t="s">
        <v>34</v>
      </c>
      <c r="AC10" s="3" t="s">
        <v>32</v>
      </c>
      <c r="AD10" s="3" t="s">
        <v>32</v>
      </c>
      <c r="AE10" s="3" t="s">
        <v>32</v>
      </c>
      <c r="AF10" s="3" t="s">
        <v>32</v>
      </c>
      <c r="AG10" s="3" t="s">
        <v>33</v>
      </c>
      <c r="AH10" s="3">
        <f t="shared" si="2"/>
        <v>25</v>
      </c>
      <c r="AI10" s="3">
        <f t="shared" si="3"/>
        <v>2</v>
      </c>
      <c r="AJ10" s="3">
        <f t="shared" si="4"/>
        <v>4</v>
      </c>
    </row>
    <row r="11" spans="1:36" x14ac:dyDescent="0.25">
      <c r="A11" s="3">
        <f t="shared" si="1"/>
        <v>7</v>
      </c>
      <c r="B11" s="16" t="str">
        <f>IFERROR(VLOOKUP(A11,EMP!$A$3:$B$12,2,FALSE),"")</f>
        <v>DEEP</v>
      </c>
      <c r="C11" s="3" t="s">
        <v>33</v>
      </c>
      <c r="D11" s="3" t="s">
        <v>32</v>
      </c>
      <c r="E11" s="3" t="s">
        <v>32</v>
      </c>
      <c r="F11" s="3" t="s">
        <v>32</v>
      </c>
      <c r="G11" s="4" t="s">
        <v>34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4" t="s">
        <v>34</v>
      </c>
      <c r="O11" s="3" t="s">
        <v>32</v>
      </c>
      <c r="P11" s="3" t="s">
        <v>32</v>
      </c>
      <c r="Q11" s="3" t="s">
        <v>32</v>
      </c>
      <c r="R11" s="3" t="s">
        <v>33</v>
      </c>
      <c r="S11" s="3" t="s">
        <v>32</v>
      </c>
      <c r="T11" s="3" t="s">
        <v>32</v>
      </c>
      <c r="U11" s="4" t="s">
        <v>34</v>
      </c>
      <c r="V11" s="3" t="s">
        <v>32</v>
      </c>
      <c r="W11" s="3" t="s">
        <v>32</v>
      </c>
      <c r="X11" s="3" t="s">
        <v>32</v>
      </c>
      <c r="Y11" s="3" t="s">
        <v>33</v>
      </c>
      <c r="Z11" s="3" t="s">
        <v>32</v>
      </c>
      <c r="AA11" s="3" t="s">
        <v>32</v>
      </c>
      <c r="AB11" s="4" t="s">
        <v>34</v>
      </c>
      <c r="AC11" s="3" t="s">
        <v>32</v>
      </c>
      <c r="AD11" s="3" t="s">
        <v>32</v>
      </c>
      <c r="AE11" s="3" t="s">
        <v>33</v>
      </c>
      <c r="AF11" s="3" t="s">
        <v>32</v>
      </c>
      <c r="AG11" s="3" t="s">
        <v>32</v>
      </c>
      <c r="AH11" s="3">
        <f t="shared" si="2"/>
        <v>22</v>
      </c>
      <c r="AI11" s="3">
        <f t="shared" si="3"/>
        <v>4</v>
      </c>
      <c r="AJ11" s="3">
        <f t="shared" si="4"/>
        <v>4</v>
      </c>
    </row>
    <row r="12" spans="1:36" x14ac:dyDescent="0.25">
      <c r="A12" s="3">
        <f t="shared" si="1"/>
        <v>8</v>
      </c>
      <c r="B12" s="16" t="str">
        <f>IFERROR(VLOOKUP(A12,EMP!$A$3:$B$12,2,FALSE),"")</f>
        <v>KEYUR</v>
      </c>
      <c r="C12" s="3" t="s">
        <v>32</v>
      </c>
      <c r="D12" s="3" t="s">
        <v>32</v>
      </c>
      <c r="E12" s="3" t="s">
        <v>32</v>
      </c>
      <c r="F12" s="3" t="s">
        <v>32</v>
      </c>
      <c r="G12" s="4" t="s">
        <v>34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4" t="s">
        <v>34</v>
      </c>
      <c r="O12" s="3" t="s">
        <v>32</v>
      </c>
      <c r="P12" s="3" t="s">
        <v>33</v>
      </c>
      <c r="Q12" s="3" t="s">
        <v>32</v>
      </c>
      <c r="R12" s="3" t="s">
        <v>32</v>
      </c>
      <c r="S12" s="3" t="s">
        <v>32</v>
      </c>
      <c r="T12" s="3" t="s">
        <v>32</v>
      </c>
      <c r="U12" s="4" t="s">
        <v>34</v>
      </c>
      <c r="V12" s="3" t="s">
        <v>32</v>
      </c>
      <c r="W12" s="3" t="s">
        <v>32</v>
      </c>
      <c r="X12" s="3" t="s">
        <v>32</v>
      </c>
      <c r="Y12" s="3" t="s">
        <v>32</v>
      </c>
      <c r="Z12" s="3" t="s">
        <v>32</v>
      </c>
      <c r="AA12" s="3" t="s">
        <v>32</v>
      </c>
      <c r="AB12" s="4" t="s">
        <v>34</v>
      </c>
      <c r="AC12" s="3" t="s">
        <v>32</v>
      </c>
      <c r="AD12" s="3" t="s">
        <v>32</v>
      </c>
      <c r="AE12" s="3" t="s">
        <v>32</v>
      </c>
      <c r="AF12" s="3" t="s">
        <v>32</v>
      </c>
      <c r="AG12" s="3" t="s">
        <v>32</v>
      </c>
      <c r="AH12" s="3">
        <f t="shared" si="2"/>
        <v>25</v>
      </c>
      <c r="AI12" s="3">
        <f t="shared" si="3"/>
        <v>1</v>
      </c>
      <c r="AJ12" s="3">
        <f t="shared" si="4"/>
        <v>4</v>
      </c>
    </row>
    <row r="13" spans="1:36" x14ac:dyDescent="0.25">
      <c r="A13" s="3">
        <f t="shared" si="1"/>
        <v>9</v>
      </c>
      <c r="B13" s="16" t="str">
        <f>IFERROR(VLOOKUP(A13,EMP!$A$3:$B$12,2,FALSE),"")</f>
        <v>DHRUVI</v>
      </c>
      <c r="C13" s="3" t="s">
        <v>32</v>
      </c>
      <c r="D13" s="3" t="s">
        <v>32</v>
      </c>
      <c r="E13" s="3" t="s">
        <v>32</v>
      </c>
      <c r="F13" s="3" t="s">
        <v>33</v>
      </c>
      <c r="G13" s="4" t="s">
        <v>34</v>
      </c>
      <c r="H13" s="3" t="s">
        <v>33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4" t="s">
        <v>34</v>
      </c>
      <c r="O13" s="3" t="s">
        <v>33</v>
      </c>
      <c r="P13" s="3" t="s">
        <v>32</v>
      </c>
      <c r="Q13" s="3" t="s">
        <v>32</v>
      </c>
      <c r="R13" s="3" t="s">
        <v>32</v>
      </c>
      <c r="S13" s="3" t="s">
        <v>32</v>
      </c>
      <c r="T13" s="3" t="s">
        <v>32</v>
      </c>
      <c r="U13" s="4" t="s">
        <v>34</v>
      </c>
      <c r="V13" s="3" t="s">
        <v>33</v>
      </c>
      <c r="W13" s="3" t="s">
        <v>32</v>
      </c>
      <c r="X13" s="3" t="s">
        <v>32</v>
      </c>
      <c r="Y13" s="3" t="s">
        <v>33</v>
      </c>
      <c r="Z13" s="3" t="s">
        <v>32</v>
      </c>
      <c r="AA13" s="3" t="s">
        <v>32</v>
      </c>
      <c r="AB13" s="4" t="s">
        <v>34</v>
      </c>
      <c r="AC13" s="3" t="s">
        <v>33</v>
      </c>
      <c r="AD13" s="3" t="s">
        <v>32</v>
      </c>
      <c r="AE13" s="3" t="s">
        <v>32</v>
      </c>
      <c r="AF13" s="3" t="s">
        <v>32</v>
      </c>
      <c r="AG13" s="3" t="s">
        <v>32</v>
      </c>
      <c r="AH13" s="3">
        <f t="shared" si="2"/>
        <v>20</v>
      </c>
      <c r="AI13" s="3">
        <f t="shared" si="3"/>
        <v>6</v>
      </c>
      <c r="AJ13" s="3">
        <f t="shared" si="4"/>
        <v>4</v>
      </c>
    </row>
    <row r="14" spans="1:36" x14ac:dyDescent="0.25">
      <c r="A14" s="3">
        <f t="shared" si="1"/>
        <v>10</v>
      </c>
      <c r="B14" s="16" t="str">
        <f>IFERROR(VLOOKUP(A14,EMP!$A$3:$B$12,2,FALSE),"")</f>
        <v>RAJVI</v>
      </c>
      <c r="C14" s="3" t="s">
        <v>32</v>
      </c>
      <c r="D14" s="3" t="s">
        <v>32</v>
      </c>
      <c r="E14" s="3" t="s">
        <v>32</v>
      </c>
      <c r="F14" s="3" t="s">
        <v>32</v>
      </c>
      <c r="G14" s="4" t="s">
        <v>34</v>
      </c>
      <c r="H14" s="3" t="s">
        <v>32</v>
      </c>
      <c r="I14" s="3" t="s">
        <v>32</v>
      </c>
      <c r="J14" s="3" t="s">
        <v>33</v>
      </c>
      <c r="K14" s="3" t="s">
        <v>32</v>
      </c>
      <c r="L14" s="3" t="s">
        <v>32</v>
      </c>
      <c r="M14" s="3" t="s">
        <v>32</v>
      </c>
      <c r="N14" s="4" t="s">
        <v>34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32</v>
      </c>
      <c r="T14" s="3" t="s">
        <v>32</v>
      </c>
      <c r="U14" s="4" t="s">
        <v>34</v>
      </c>
      <c r="V14" s="3" t="s">
        <v>32</v>
      </c>
      <c r="W14" s="3" t="s">
        <v>32</v>
      </c>
      <c r="X14" s="3" t="s">
        <v>32</v>
      </c>
      <c r="Y14" s="3" t="s">
        <v>33</v>
      </c>
      <c r="Z14" s="3" t="s">
        <v>32</v>
      </c>
      <c r="AA14" s="3" t="s">
        <v>32</v>
      </c>
      <c r="AB14" s="4" t="s">
        <v>34</v>
      </c>
      <c r="AC14" s="3" t="s">
        <v>32</v>
      </c>
      <c r="AD14" s="3" t="s">
        <v>32</v>
      </c>
      <c r="AE14" s="3" t="s">
        <v>32</v>
      </c>
      <c r="AF14" s="3" t="s">
        <v>32</v>
      </c>
      <c r="AG14" s="3" t="s">
        <v>32</v>
      </c>
      <c r="AH14" s="3">
        <f t="shared" si="2"/>
        <v>24</v>
      </c>
      <c r="AI14" s="3">
        <f t="shared" si="3"/>
        <v>2</v>
      </c>
      <c r="AJ14" s="3">
        <f t="shared" si="4"/>
        <v>4</v>
      </c>
    </row>
  </sheetData>
  <mergeCells count="3">
    <mergeCell ref="A3:B3"/>
    <mergeCell ref="AH3:AJ3"/>
    <mergeCell ref="A2:A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</vt:lpstr>
      <vt:lpstr>ATTENDENCE</vt:lpstr>
      <vt:lpstr>SALARY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PC14</dc:creator>
  <cp:lastModifiedBy>PC14</cp:lastModifiedBy>
  <dcterms:created xsi:type="dcterms:W3CDTF">2026-08-22T09:28:25Z</dcterms:created>
  <dcterms:modified xsi:type="dcterms:W3CDTF">2026-08-22T10:23:56Z</dcterms:modified>
</cp:coreProperties>
</file>