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sci\Dataset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L3" i="1"/>
  <c r="K3" i="1"/>
  <c r="J3" i="1"/>
  <c r="I3" i="1"/>
  <c r="H3" i="1"/>
</calcChain>
</file>

<file path=xl/sharedStrings.xml><?xml version="1.0" encoding="utf-8"?>
<sst xmlns="http://schemas.openxmlformats.org/spreadsheetml/2006/main" count="61" uniqueCount="61">
  <si>
    <t>Roll No.</t>
  </si>
  <si>
    <t>Name</t>
  </si>
  <si>
    <t>Sub 1</t>
  </si>
  <si>
    <t>Sub 2</t>
  </si>
  <si>
    <t>Sub 4</t>
  </si>
  <si>
    <t>Sub 5</t>
  </si>
  <si>
    <t>Sub 3</t>
  </si>
  <si>
    <t>Total</t>
  </si>
  <si>
    <t>Min</t>
  </si>
  <si>
    <t>Max</t>
  </si>
  <si>
    <t>Avg</t>
  </si>
  <si>
    <t>Result</t>
  </si>
  <si>
    <t>Rank</t>
  </si>
  <si>
    <t>STUDENT   RESULT</t>
  </si>
  <si>
    <t>Sneha</t>
  </si>
  <si>
    <t>Deep</t>
  </si>
  <si>
    <t>Radhika</t>
  </si>
  <si>
    <t>Hasti</t>
  </si>
  <si>
    <t>Rahul</t>
  </si>
  <si>
    <t>Vaibhav</t>
  </si>
  <si>
    <t>Darshan</t>
  </si>
  <si>
    <t>Sahil</t>
  </si>
  <si>
    <t>Brijesh</t>
  </si>
  <si>
    <t>Nency</t>
  </si>
  <si>
    <t>Drashti</t>
  </si>
  <si>
    <t>Sujal</t>
  </si>
  <si>
    <t>Hrutvik</t>
  </si>
  <si>
    <t>Rajvi</t>
  </si>
  <si>
    <t>Dhruvi</t>
  </si>
  <si>
    <t>Yashvi</t>
  </si>
  <si>
    <t>Dwarkesh</t>
  </si>
  <si>
    <t>Eshika</t>
  </si>
  <si>
    <t>Rudra</t>
  </si>
  <si>
    <t>Pushp</t>
  </si>
  <si>
    <t>Raj</t>
  </si>
  <si>
    <t>Shiv</t>
  </si>
  <si>
    <t>Khyati</t>
  </si>
  <si>
    <t>Krish</t>
  </si>
  <si>
    <t>Ritanshi</t>
  </si>
  <si>
    <t>Tirth</t>
  </si>
  <si>
    <t>Krishnam</t>
  </si>
  <si>
    <t>Kriva</t>
  </si>
  <si>
    <t>Dhvani</t>
  </si>
  <si>
    <t>Harshit</t>
  </si>
  <si>
    <t>Akash</t>
  </si>
  <si>
    <t>Rushali</t>
  </si>
  <si>
    <t>Dharmi</t>
  </si>
  <si>
    <t>Jenny</t>
  </si>
  <si>
    <t>Shreya</t>
  </si>
  <si>
    <t>Neet</t>
  </si>
  <si>
    <t>Nihal</t>
  </si>
  <si>
    <t>Kirtan</t>
  </si>
  <si>
    <t>Meera</t>
  </si>
  <si>
    <t>Bansi</t>
  </si>
  <si>
    <t>Vansh</t>
  </si>
  <si>
    <t>Vrutik</t>
  </si>
  <si>
    <t>Mirva</t>
  </si>
  <si>
    <t>Rishabh</t>
  </si>
  <si>
    <t>Keyur</t>
  </si>
  <si>
    <t>Grade</t>
  </si>
  <si>
    <t xml:space="preserve">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</si>
</sst>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topLeftCell="A13" workbookViewId="0">
      <selection activeCell="L46" sqref="L46"/>
    </sheetView>
  </sheetViews>
  <sheetFormatPr defaultRowHeight="15" x14ac:dyDescent="0.25"/>
  <cols>
    <col min="2" max="2" width="12.85546875" customWidth="1"/>
    <col min="8" max="8" width="12.140625" customWidth="1"/>
    <col min="11" max="11" width="10.85546875" customWidth="1"/>
    <col min="12" max="12" width="13.85546875" customWidth="1"/>
  </cols>
  <sheetData>
    <row r="1" spans="1:14" x14ac:dyDescent="0.25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59</v>
      </c>
    </row>
    <row r="3" spans="1:14" x14ac:dyDescent="0.25">
      <c r="A3" s="2">
        <v>1</v>
      </c>
      <c r="B3" s="2" t="s">
        <v>14</v>
      </c>
      <c r="C3" s="2">
        <v>67</v>
      </c>
      <c r="D3" s="2">
        <v>78</v>
      </c>
      <c r="E3" s="2">
        <v>45</v>
      </c>
      <c r="F3" s="2">
        <v>36</v>
      </c>
      <c r="G3" s="2">
        <v>15</v>
      </c>
      <c r="H3" s="2">
        <f>SUM(C3:G3)</f>
        <v>241</v>
      </c>
      <c r="I3" s="2">
        <f>MIN(C3:G3)</f>
        <v>15</v>
      </c>
      <c r="J3" s="2">
        <f>MAX(C3:G3)</f>
        <v>78</v>
      </c>
      <c r="K3" s="2">
        <f>AVERAGE(C3:G3)</f>
        <v>48.2</v>
      </c>
      <c r="L3" s="2" t="str">
        <f>IF(COUNTIF(C3:G3,"&lt;35")=0,"PASS",IF(COUNTIF(C3:G3,"&lt;35")&lt;=3,"ATKT","FAIL"))</f>
        <v>ATKT</v>
      </c>
      <c r="M3" s="2" t="str">
        <f>IF(COUNTIF(L3,"=PASS"),RANK(K3,K$3:K$47),"-")</f>
        <v>-</v>
      </c>
      <c r="N3" s="3"/>
    </row>
    <row r="4" spans="1:14" x14ac:dyDescent="0.25">
      <c r="A4" s="2">
        <v>2</v>
      </c>
      <c r="B4" s="2" t="s">
        <v>15</v>
      </c>
      <c r="C4" s="2">
        <v>68</v>
      </c>
      <c r="D4" s="2">
        <v>89</v>
      </c>
      <c r="E4" s="2">
        <v>56</v>
      </c>
      <c r="F4" s="2">
        <v>72</v>
      </c>
      <c r="G4" s="2">
        <v>90</v>
      </c>
      <c r="H4" s="2">
        <f t="shared" ref="H4:H47" si="0">SUM(C4:G4)</f>
        <v>375</v>
      </c>
      <c r="I4" s="2">
        <f t="shared" ref="I4:I47" si="1">MIN(C4:G4)</f>
        <v>56</v>
      </c>
      <c r="J4" s="2">
        <f t="shared" ref="J4:J47" si="2">MAX(C4:G4)</f>
        <v>90</v>
      </c>
      <c r="K4" s="2">
        <f t="shared" ref="K4:K47" si="3">AVERAGE(C4:G4)</f>
        <v>75</v>
      </c>
      <c r="L4" s="2" t="str">
        <f t="shared" ref="L4:L47" si="4">IF(COUNTIF(C4:G4,"&lt;35")=0,"PASS",IF(COUNTIF(C4:G4,"&lt;35")&lt;=3,"ATKT","FAIL"))</f>
        <v>PASS</v>
      </c>
      <c r="M4" s="2">
        <f t="shared" ref="M4:M47" si="5">IF(COUNTIF(L4,"=PASS"),RANK(K4,K$3:K$47),"-")</f>
        <v>9</v>
      </c>
      <c r="N4" s="3" t="str">
        <f t="shared" ref="N3:N47" si="6">IF(OR(L4="ATKT",L4="FAIL"),"",IF(K4&gt;=80,"A",IF(K4&gt;=60,"B",IF(K4&gt;=40,"C","D"))))</f>
        <v>B</v>
      </c>
    </row>
    <row r="5" spans="1:14" x14ac:dyDescent="0.25">
      <c r="A5" s="2">
        <v>3</v>
      </c>
      <c r="B5" s="2" t="s">
        <v>16</v>
      </c>
      <c r="C5" s="2">
        <v>56</v>
      </c>
      <c r="D5" s="2">
        <v>84</v>
      </c>
      <c r="E5" s="2">
        <v>26</v>
      </c>
      <c r="F5" s="2">
        <v>95</v>
      </c>
      <c r="G5" s="2">
        <v>24</v>
      </c>
      <c r="H5" s="2">
        <f t="shared" si="0"/>
        <v>285</v>
      </c>
      <c r="I5" s="2">
        <f t="shared" si="1"/>
        <v>24</v>
      </c>
      <c r="J5" s="2">
        <f t="shared" si="2"/>
        <v>95</v>
      </c>
      <c r="K5" s="2">
        <f t="shared" si="3"/>
        <v>57</v>
      </c>
      <c r="L5" s="2" t="str">
        <f t="shared" si="4"/>
        <v>ATKT</v>
      </c>
      <c r="M5" s="2" t="str">
        <f t="shared" si="5"/>
        <v>-</v>
      </c>
      <c r="N5" s="3" t="str">
        <f t="shared" si="6"/>
        <v/>
      </c>
    </row>
    <row r="6" spans="1:14" x14ac:dyDescent="0.25">
      <c r="A6" s="2">
        <v>4</v>
      </c>
      <c r="B6" s="2" t="s">
        <v>17</v>
      </c>
      <c r="C6" s="2">
        <v>67</v>
      </c>
      <c r="D6" s="2">
        <v>85</v>
      </c>
      <c r="E6" s="2">
        <v>96</v>
      </c>
      <c r="F6" s="2">
        <v>75</v>
      </c>
      <c r="G6" s="2">
        <v>45</v>
      </c>
      <c r="H6" s="2">
        <f t="shared" si="0"/>
        <v>368</v>
      </c>
      <c r="I6" s="2">
        <f t="shared" si="1"/>
        <v>45</v>
      </c>
      <c r="J6" s="2">
        <f t="shared" si="2"/>
        <v>96</v>
      </c>
      <c r="K6" s="2">
        <f t="shared" si="3"/>
        <v>73.599999999999994</v>
      </c>
      <c r="L6" s="2" t="str">
        <f t="shared" si="4"/>
        <v>PASS</v>
      </c>
      <c r="M6" s="2">
        <f t="shared" si="5"/>
        <v>10</v>
      </c>
      <c r="N6" s="3" t="str">
        <f t="shared" si="6"/>
        <v>B</v>
      </c>
    </row>
    <row r="7" spans="1:14" x14ac:dyDescent="0.25">
      <c r="A7" s="2">
        <v>5</v>
      </c>
      <c r="B7" s="2" t="s">
        <v>18</v>
      </c>
      <c r="C7" s="2">
        <v>78</v>
      </c>
      <c r="D7" s="2">
        <v>96</v>
      </c>
      <c r="E7" s="2">
        <v>54</v>
      </c>
      <c r="F7" s="2">
        <v>65</v>
      </c>
      <c r="G7" s="2">
        <v>36</v>
      </c>
      <c r="H7" s="2">
        <f t="shared" si="0"/>
        <v>329</v>
      </c>
      <c r="I7" s="2">
        <f t="shared" si="1"/>
        <v>36</v>
      </c>
      <c r="J7" s="2">
        <f t="shared" si="2"/>
        <v>96</v>
      </c>
      <c r="K7" s="2">
        <f t="shared" si="3"/>
        <v>65.8</v>
      </c>
      <c r="L7" s="2" t="str">
        <f t="shared" si="4"/>
        <v>PASS</v>
      </c>
      <c r="M7" s="2">
        <f t="shared" si="5"/>
        <v>22</v>
      </c>
      <c r="N7" s="3" t="str">
        <f t="shared" si="6"/>
        <v>B</v>
      </c>
    </row>
    <row r="8" spans="1:14" x14ac:dyDescent="0.25">
      <c r="A8" s="2">
        <v>6</v>
      </c>
      <c r="B8" s="2" t="s">
        <v>19</v>
      </c>
      <c r="C8" s="2">
        <v>78</v>
      </c>
      <c r="D8" s="2">
        <v>96</v>
      </c>
      <c r="E8" s="2">
        <v>45</v>
      </c>
      <c r="F8" s="2">
        <v>65</v>
      </c>
      <c r="G8" s="2">
        <v>58</v>
      </c>
      <c r="H8" s="2">
        <f t="shared" si="0"/>
        <v>342</v>
      </c>
      <c r="I8" s="2">
        <f t="shared" si="1"/>
        <v>45</v>
      </c>
      <c r="J8" s="2">
        <f t="shared" si="2"/>
        <v>96</v>
      </c>
      <c r="K8" s="2">
        <f t="shared" si="3"/>
        <v>68.400000000000006</v>
      </c>
      <c r="L8" s="2" t="str">
        <f t="shared" si="4"/>
        <v>PASS</v>
      </c>
      <c r="M8" s="2">
        <f t="shared" si="5"/>
        <v>19</v>
      </c>
      <c r="N8" s="3" t="str">
        <f t="shared" si="6"/>
        <v>B</v>
      </c>
    </row>
    <row r="9" spans="1:14" x14ac:dyDescent="0.25">
      <c r="A9" s="2">
        <v>7</v>
      </c>
      <c r="B9" s="2" t="s">
        <v>20</v>
      </c>
      <c r="C9" s="2">
        <v>85</v>
      </c>
      <c r="D9" s="2">
        <v>75</v>
      </c>
      <c r="E9" s="2">
        <v>69</v>
      </c>
      <c r="F9" s="2">
        <v>49</v>
      </c>
      <c r="G9" s="2">
        <v>57</v>
      </c>
      <c r="H9" s="2">
        <f t="shared" si="0"/>
        <v>335</v>
      </c>
      <c r="I9" s="2">
        <f t="shared" si="1"/>
        <v>49</v>
      </c>
      <c r="J9" s="2">
        <f t="shared" si="2"/>
        <v>85</v>
      </c>
      <c r="K9" s="2">
        <f t="shared" si="3"/>
        <v>67</v>
      </c>
      <c r="L9" s="2" t="str">
        <f t="shared" si="4"/>
        <v>PASS</v>
      </c>
      <c r="M9" s="2">
        <f t="shared" si="5"/>
        <v>20</v>
      </c>
      <c r="N9" s="3" t="str">
        <f t="shared" si="6"/>
        <v>B</v>
      </c>
    </row>
    <row r="10" spans="1:14" x14ac:dyDescent="0.25">
      <c r="A10" s="2">
        <v>8</v>
      </c>
      <c r="B10" s="2" t="s">
        <v>21</v>
      </c>
      <c r="C10" s="2">
        <v>85</v>
      </c>
      <c r="D10" s="2">
        <v>65</v>
      </c>
      <c r="E10" s="2">
        <v>48</v>
      </c>
      <c r="F10" s="2">
        <v>92</v>
      </c>
      <c r="G10" s="2">
        <v>70</v>
      </c>
      <c r="H10" s="2">
        <f t="shared" si="0"/>
        <v>360</v>
      </c>
      <c r="I10" s="2">
        <f t="shared" si="1"/>
        <v>48</v>
      </c>
      <c r="J10" s="2">
        <f t="shared" si="2"/>
        <v>92</v>
      </c>
      <c r="K10" s="2">
        <f t="shared" si="3"/>
        <v>72</v>
      </c>
      <c r="L10" s="2" t="str">
        <f t="shared" si="4"/>
        <v>PASS</v>
      </c>
      <c r="M10" s="2">
        <f t="shared" si="5"/>
        <v>13</v>
      </c>
      <c r="N10" s="3" t="str">
        <f t="shared" si="6"/>
        <v>B</v>
      </c>
    </row>
    <row r="11" spans="1:14" x14ac:dyDescent="0.25">
      <c r="A11" s="2">
        <v>9</v>
      </c>
      <c r="B11" s="2" t="s">
        <v>22</v>
      </c>
      <c r="C11" s="2">
        <v>45</v>
      </c>
      <c r="D11" s="2">
        <v>75</v>
      </c>
      <c r="E11" s="2">
        <v>96</v>
      </c>
      <c r="F11" s="2">
        <v>92</v>
      </c>
      <c r="G11" s="2">
        <v>90</v>
      </c>
      <c r="H11" s="2">
        <f t="shared" si="0"/>
        <v>398</v>
      </c>
      <c r="I11" s="2">
        <f t="shared" si="1"/>
        <v>45</v>
      </c>
      <c r="J11" s="2">
        <f t="shared" si="2"/>
        <v>96</v>
      </c>
      <c r="K11" s="2">
        <f t="shared" si="3"/>
        <v>79.599999999999994</v>
      </c>
      <c r="L11" s="2" t="str">
        <f t="shared" si="4"/>
        <v>PASS</v>
      </c>
      <c r="M11" s="2">
        <f t="shared" si="5"/>
        <v>7</v>
      </c>
      <c r="N11" s="3" t="str">
        <f t="shared" si="6"/>
        <v>B</v>
      </c>
    </row>
    <row r="12" spans="1:14" x14ac:dyDescent="0.25">
      <c r="A12" s="2">
        <v>10</v>
      </c>
      <c r="B12" s="2" t="s">
        <v>23</v>
      </c>
      <c r="C12" s="2">
        <v>79</v>
      </c>
      <c r="D12" s="2">
        <v>87</v>
      </c>
      <c r="E12" s="2">
        <v>90</v>
      </c>
      <c r="F12" s="2">
        <v>92</v>
      </c>
      <c r="G12" s="2">
        <v>70</v>
      </c>
      <c r="H12" s="2">
        <f t="shared" si="0"/>
        <v>418</v>
      </c>
      <c r="I12" s="2">
        <f t="shared" si="1"/>
        <v>70</v>
      </c>
      <c r="J12" s="2">
        <f t="shared" si="2"/>
        <v>92</v>
      </c>
      <c r="K12" s="2">
        <f t="shared" si="3"/>
        <v>83.6</v>
      </c>
      <c r="L12" s="2" t="str">
        <f t="shared" si="4"/>
        <v>PASS</v>
      </c>
      <c r="M12" s="2">
        <f t="shared" si="5"/>
        <v>3</v>
      </c>
      <c r="N12" s="3" t="str">
        <f t="shared" si="6"/>
        <v>A</v>
      </c>
    </row>
    <row r="13" spans="1:14" x14ac:dyDescent="0.25">
      <c r="A13" s="2">
        <v>11</v>
      </c>
      <c r="B13" s="2" t="s">
        <v>24</v>
      </c>
      <c r="C13" s="2">
        <v>75</v>
      </c>
      <c r="D13" s="2">
        <v>59</v>
      </c>
      <c r="E13" s="2">
        <v>65</v>
      </c>
      <c r="F13" s="2">
        <v>81</v>
      </c>
      <c r="G13" s="2">
        <v>37</v>
      </c>
      <c r="H13" s="2">
        <f t="shared" si="0"/>
        <v>317</v>
      </c>
      <c r="I13" s="2">
        <f t="shared" si="1"/>
        <v>37</v>
      </c>
      <c r="J13" s="2">
        <f t="shared" si="2"/>
        <v>81</v>
      </c>
      <c r="K13" s="2">
        <f t="shared" si="3"/>
        <v>63.4</v>
      </c>
      <c r="L13" s="2" t="str">
        <f t="shared" si="4"/>
        <v>PASS</v>
      </c>
      <c r="M13" s="2">
        <f t="shared" si="5"/>
        <v>25</v>
      </c>
      <c r="N13" s="3" t="str">
        <f t="shared" si="6"/>
        <v>B</v>
      </c>
    </row>
    <row r="14" spans="1:14" x14ac:dyDescent="0.25">
      <c r="A14" s="2">
        <v>12</v>
      </c>
      <c r="B14" s="2" t="s">
        <v>25</v>
      </c>
      <c r="C14" s="2">
        <v>85</v>
      </c>
      <c r="D14" s="2">
        <v>96</v>
      </c>
      <c r="E14" s="2">
        <v>42</v>
      </c>
      <c r="F14" s="2">
        <v>63</v>
      </c>
      <c r="G14" s="2">
        <v>45</v>
      </c>
      <c r="H14" s="2">
        <f t="shared" si="0"/>
        <v>331</v>
      </c>
      <c r="I14" s="2">
        <f t="shared" si="1"/>
        <v>42</v>
      </c>
      <c r="J14" s="2">
        <f t="shared" si="2"/>
        <v>96</v>
      </c>
      <c r="K14" s="2">
        <f t="shared" si="3"/>
        <v>66.2</v>
      </c>
      <c r="L14" s="2" t="str">
        <f t="shared" si="4"/>
        <v>PASS</v>
      </c>
      <c r="M14" s="2">
        <f t="shared" si="5"/>
        <v>21</v>
      </c>
      <c r="N14" s="3" t="str">
        <f t="shared" si="6"/>
        <v>B</v>
      </c>
    </row>
    <row r="15" spans="1:14" x14ac:dyDescent="0.25">
      <c r="A15" s="2">
        <v>13</v>
      </c>
      <c r="B15" s="2" t="s">
        <v>26</v>
      </c>
      <c r="C15" s="2">
        <v>78</v>
      </c>
      <c r="D15" s="2">
        <v>95</v>
      </c>
      <c r="E15" s="2">
        <v>90</v>
      </c>
      <c r="F15" s="2">
        <v>67</v>
      </c>
      <c r="G15" s="2">
        <v>85</v>
      </c>
      <c r="H15" s="2">
        <f t="shared" si="0"/>
        <v>415</v>
      </c>
      <c r="I15" s="2">
        <f t="shared" si="1"/>
        <v>67</v>
      </c>
      <c r="J15" s="2">
        <f t="shared" si="2"/>
        <v>95</v>
      </c>
      <c r="K15" s="2">
        <f t="shared" si="3"/>
        <v>83</v>
      </c>
      <c r="L15" s="2" t="str">
        <f t="shared" si="4"/>
        <v>PASS</v>
      </c>
      <c r="M15" s="2">
        <f t="shared" si="5"/>
        <v>5</v>
      </c>
      <c r="N15" s="3" t="str">
        <f t="shared" si="6"/>
        <v>A</v>
      </c>
    </row>
    <row r="16" spans="1:14" x14ac:dyDescent="0.25">
      <c r="A16" s="2">
        <v>14</v>
      </c>
      <c r="B16" s="2" t="s">
        <v>27</v>
      </c>
      <c r="C16" s="2">
        <v>90</v>
      </c>
      <c r="D16" s="2">
        <v>69</v>
      </c>
      <c r="E16" s="2">
        <v>78</v>
      </c>
      <c r="F16" s="2">
        <v>84</v>
      </c>
      <c r="G16" s="2">
        <v>67</v>
      </c>
      <c r="H16" s="2">
        <f t="shared" si="0"/>
        <v>388</v>
      </c>
      <c r="I16" s="2">
        <f t="shared" si="1"/>
        <v>67</v>
      </c>
      <c r="J16" s="2">
        <f t="shared" si="2"/>
        <v>90</v>
      </c>
      <c r="K16" s="2">
        <f t="shared" si="3"/>
        <v>77.599999999999994</v>
      </c>
      <c r="L16" s="2" t="str">
        <f t="shared" si="4"/>
        <v>PASS</v>
      </c>
      <c r="M16" s="2">
        <f t="shared" si="5"/>
        <v>8</v>
      </c>
      <c r="N16" s="3" t="str">
        <f t="shared" si="6"/>
        <v>B</v>
      </c>
    </row>
    <row r="17" spans="1:14" x14ac:dyDescent="0.25">
      <c r="A17" s="2">
        <v>15</v>
      </c>
      <c r="B17" s="2" t="s">
        <v>28</v>
      </c>
      <c r="C17" s="2">
        <v>78</v>
      </c>
      <c r="D17" s="2">
        <v>65</v>
      </c>
      <c r="E17" s="2">
        <v>85</v>
      </c>
      <c r="F17" s="2">
        <v>94</v>
      </c>
      <c r="G17" s="2">
        <v>41</v>
      </c>
      <c r="H17" s="2">
        <f t="shared" si="0"/>
        <v>363</v>
      </c>
      <c r="I17" s="2">
        <f t="shared" si="1"/>
        <v>41</v>
      </c>
      <c r="J17" s="2">
        <f t="shared" si="2"/>
        <v>94</v>
      </c>
      <c r="K17" s="2">
        <f t="shared" si="3"/>
        <v>72.599999999999994</v>
      </c>
      <c r="L17" s="2" t="str">
        <f t="shared" si="4"/>
        <v>PASS</v>
      </c>
      <c r="M17" s="2">
        <f t="shared" si="5"/>
        <v>11</v>
      </c>
      <c r="N17" s="3" t="str">
        <f t="shared" si="6"/>
        <v>B</v>
      </c>
    </row>
    <row r="18" spans="1:14" x14ac:dyDescent="0.25">
      <c r="A18" s="2">
        <v>16</v>
      </c>
      <c r="B18" s="2" t="s">
        <v>29</v>
      </c>
      <c r="C18" s="2">
        <v>87</v>
      </c>
      <c r="D18" s="2">
        <v>65</v>
      </c>
      <c r="E18" s="2">
        <v>24</v>
      </c>
      <c r="F18" s="2">
        <v>54</v>
      </c>
      <c r="G18" s="2">
        <v>23</v>
      </c>
      <c r="H18" s="2">
        <f t="shared" si="0"/>
        <v>253</v>
      </c>
      <c r="I18" s="2">
        <f t="shared" si="1"/>
        <v>23</v>
      </c>
      <c r="J18" s="2">
        <f t="shared" si="2"/>
        <v>87</v>
      </c>
      <c r="K18" s="2">
        <f t="shared" si="3"/>
        <v>50.6</v>
      </c>
      <c r="L18" s="2" t="str">
        <f t="shared" si="4"/>
        <v>ATKT</v>
      </c>
      <c r="M18" s="2" t="str">
        <f t="shared" si="5"/>
        <v>-</v>
      </c>
      <c r="N18" s="3" t="str">
        <f t="shared" si="6"/>
        <v/>
      </c>
    </row>
    <row r="19" spans="1:14" x14ac:dyDescent="0.25">
      <c r="A19" s="2">
        <v>17</v>
      </c>
      <c r="B19" s="2" t="s">
        <v>30</v>
      </c>
      <c r="C19" s="2">
        <v>89</v>
      </c>
      <c r="D19" s="2">
        <v>78</v>
      </c>
      <c r="E19" s="2">
        <v>85</v>
      </c>
      <c r="F19" s="2">
        <v>67</v>
      </c>
      <c r="G19" s="2">
        <v>90</v>
      </c>
      <c r="H19" s="2">
        <f t="shared" si="0"/>
        <v>409</v>
      </c>
      <c r="I19" s="2">
        <f t="shared" si="1"/>
        <v>67</v>
      </c>
      <c r="J19" s="2">
        <f t="shared" si="2"/>
        <v>90</v>
      </c>
      <c r="K19" s="2">
        <f t="shared" si="3"/>
        <v>81.8</v>
      </c>
      <c r="L19" s="2" t="str">
        <f t="shared" si="4"/>
        <v>PASS</v>
      </c>
      <c r="M19" s="2">
        <f t="shared" si="5"/>
        <v>6</v>
      </c>
      <c r="N19" s="3" t="str">
        <f t="shared" si="6"/>
        <v>A</v>
      </c>
    </row>
    <row r="20" spans="1:14" x14ac:dyDescent="0.25">
      <c r="A20" s="2">
        <v>18</v>
      </c>
      <c r="B20" s="2" t="s">
        <v>31</v>
      </c>
      <c r="C20" s="2">
        <v>78</v>
      </c>
      <c r="D20" s="2">
        <v>85</v>
      </c>
      <c r="E20" s="2">
        <v>52</v>
      </c>
      <c r="F20" s="2">
        <v>24</v>
      </c>
      <c r="G20" s="2">
        <v>12</v>
      </c>
      <c r="H20" s="2">
        <f t="shared" si="0"/>
        <v>251</v>
      </c>
      <c r="I20" s="2">
        <f t="shared" si="1"/>
        <v>12</v>
      </c>
      <c r="J20" s="2">
        <f t="shared" si="2"/>
        <v>85</v>
      </c>
      <c r="K20" s="2">
        <f t="shared" si="3"/>
        <v>50.2</v>
      </c>
      <c r="L20" s="2" t="str">
        <f t="shared" si="4"/>
        <v>ATKT</v>
      </c>
      <c r="M20" s="2" t="str">
        <f t="shared" si="5"/>
        <v>-</v>
      </c>
      <c r="N20" s="3" t="str">
        <f t="shared" si="6"/>
        <v/>
      </c>
    </row>
    <row r="21" spans="1:14" x14ac:dyDescent="0.25">
      <c r="A21" s="2">
        <v>19</v>
      </c>
      <c r="B21" s="2" t="s">
        <v>32</v>
      </c>
      <c r="C21" s="2">
        <v>98</v>
      </c>
      <c r="D21" s="2">
        <v>52</v>
      </c>
      <c r="E21" s="2">
        <v>63</v>
      </c>
      <c r="F21" s="2">
        <v>45</v>
      </c>
      <c r="G21" s="2">
        <v>65</v>
      </c>
      <c r="H21" s="2">
        <f t="shared" si="0"/>
        <v>323</v>
      </c>
      <c r="I21" s="2">
        <f t="shared" si="1"/>
        <v>45</v>
      </c>
      <c r="J21" s="2">
        <f t="shared" si="2"/>
        <v>98</v>
      </c>
      <c r="K21" s="2">
        <f t="shared" si="3"/>
        <v>64.599999999999994</v>
      </c>
      <c r="L21" s="2" t="str">
        <f t="shared" si="4"/>
        <v>PASS</v>
      </c>
      <c r="M21" s="2">
        <f t="shared" si="5"/>
        <v>23</v>
      </c>
      <c r="N21" s="3" t="str">
        <f t="shared" si="6"/>
        <v>B</v>
      </c>
    </row>
    <row r="22" spans="1:14" x14ac:dyDescent="0.25">
      <c r="A22" s="2">
        <v>20</v>
      </c>
      <c r="B22" s="2" t="s">
        <v>33</v>
      </c>
      <c r="C22" s="2">
        <v>45</v>
      </c>
      <c r="D22" s="2">
        <v>23</v>
      </c>
      <c r="E22" s="2">
        <v>12</v>
      </c>
      <c r="F22" s="2">
        <v>14</v>
      </c>
      <c r="G22" s="2">
        <v>50</v>
      </c>
      <c r="H22" s="2">
        <f t="shared" si="0"/>
        <v>144</v>
      </c>
      <c r="I22" s="2">
        <f t="shared" si="1"/>
        <v>12</v>
      </c>
      <c r="J22" s="2">
        <f t="shared" si="2"/>
        <v>50</v>
      </c>
      <c r="K22" s="2">
        <f t="shared" si="3"/>
        <v>28.8</v>
      </c>
      <c r="L22" s="2" t="str">
        <f t="shared" si="4"/>
        <v>ATKT</v>
      </c>
      <c r="M22" s="2" t="str">
        <f t="shared" si="5"/>
        <v>-</v>
      </c>
      <c r="N22" s="3" t="str">
        <f t="shared" si="6"/>
        <v/>
      </c>
    </row>
    <row r="23" spans="1:14" x14ac:dyDescent="0.25">
      <c r="A23" s="2">
        <v>21</v>
      </c>
      <c r="B23" s="2" t="s">
        <v>34</v>
      </c>
      <c r="C23" s="2">
        <v>23</v>
      </c>
      <c r="D23" s="2">
        <v>56</v>
      </c>
      <c r="E23" s="2">
        <v>45</v>
      </c>
      <c r="F23" s="2">
        <v>70</v>
      </c>
      <c r="G23" s="2">
        <v>56</v>
      </c>
      <c r="H23" s="2">
        <f t="shared" si="0"/>
        <v>250</v>
      </c>
      <c r="I23" s="2">
        <f t="shared" si="1"/>
        <v>23</v>
      </c>
      <c r="J23" s="2">
        <f t="shared" si="2"/>
        <v>70</v>
      </c>
      <c r="K23" s="2">
        <f t="shared" si="3"/>
        <v>50</v>
      </c>
      <c r="L23" s="2" t="str">
        <f t="shared" si="4"/>
        <v>ATKT</v>
      </c>
      <c r="M23" s="2" t="str">
        <f t="shared" si="5"/>
        <v>-</v>
      </c>
      <c r="N23" s="3" t="str">
        <f t="shared" si="6"/>
        <v/>
      </c>
    </row>
    <row r="24" spans="1:14" x14ac:dyDescent="0.25">
      <c r="A24" s="2">
        <v>22</v>
      </c>
      <c r="B24" s="2" t="s">
        <v>35</v>
      </c>
      <c r="C24" s="2">
        <v>78</v>
      </c>
      <c r="D24" s="2">
        <v>56</v>
      </c>
      <c r="E24" s="2">
        <v>52</v>
      </c>
      <c r="F24" s="2">
        <v>41</v>
      </c>
      <c r="G24" s="2">
        <v>45</v>
      </c>
      <c r="H24" s="2">
        <f t="shared" si="0"/>
        <v>272</v>
      </c>
      <c r="I24" s="2">
        <f t="shared" si="1"/>
        <v>41</v>
      </c>
      <c r="J24" s="2">
        <f t="shared" si="2"/>
        <v>78</v>
      </c>
      <c r="K24" s="2">
        <f t="shared" si="3"/>
        <v>54.4</v>
      </c>
      <c r="L24" s="2" t="str">
        <f t="shared" si="4"/>
        <v>PASS</v>
      </c>
      <c r="M24" s="2">
        <f t="shared" si="5"/>
        <v>32</v>
      </c>
      <c r="N24" s="3" t="str">
        <f t="shared" si="6"/>
        <v>C</v>
      </c>
    </row>
    <row r="25" spans="1:14" x14ac:dyDescent="0.25">
      <c r="A25" s="2">
        <v>23</v>
      </c>
      <c r="B25" s="2" t="s">
        <v>36</v>
      </c>
      <c r="C25" s="2">
        <v>45</v>
      </c>
      <c r="D25" s="2">
        <v>85</v>
      </c>
      <c r="E25" s="2">
        <v>96</v>
      </c>
      <c r="F25" s="2">
        <v>35</v>
      </c>
      <c r="G25" s="2">
        <v>45</v>
      </c>
      <c r="H25" s="2">
        <f t="shared" si="0"/>
        <v>306</v>
      </c>
      <c r="I25" s="2">
        <f t="shared" si="1"/>
        <v>35</v>
      </c>
      <c r="J25" s="2">
        <f t="shared" si="2"/>
        <v>96</v>
      </c>
      <c r="K25" s="2">
        <f t="shared" si="3"/>
        <v>61.2</v>
      </c>
      <c r="L25" s="2" t="str">
        <f t="shared" si="4"/>
        <v>PASS</v>
      </c>
      <c r="M25" s="2">
        <f t="shared" si="5"/>
        <v>27</v>
      </c>
      <c r="N25" s="3" t="str">
        <f t="shared" si="6"/>
        <v>B</v>
      </c>
    </row>
    <row r="26" spans="1:14" x14ac:dyDescent="0.25">
      <c r="A26" s="2">
        <v>24</v>
      </c>
      <c r="B26" s="2" t="s">
        <v>37</v>
      </c>
      <c r="C26" s="2">
        <v>32</v>
      </c>
      <c r="D26" s="2">
        <v>65</v>
      </c>
      <c r="E26" s="2">
        <v>40</v>
      </c>
      <c r="F26" s="2">
        <v>42</v>
      </c>
      <c r="G26" s="2">
        <v>30</v>
      </c>
      <c r="H26" s="2">
        <f t="shared" si="0"/>
        <v>209</v>
      </c>
      <c r="I26" s="2">
        <f t="shared" si="1"/>
        <v>30</v>
      </c>
      <c r="J26" s="2">
        <f t="shared" si="2"/>
        <v>65</v>
      </c>
      <c r="K26" s="2">
        <f t="shared" si="3"/>
        <v>41.8</v>
      </c>
      <c r="L26" s="2" t="str">
        <f t="shared" si="4"/>
        <v>ATKT</v>
      </c>
      <c r="M26" s="2" t="str">
        <f t="shared" si="5"/>
        <v>-</v>
      </c>
      <c r="N26" s="3" t="str">
        <f t="shared" si="6"/>
        <v/>
      </c>
    </row>
    <row r="27" spans="1:14" x14ac:dyDescent="0.25">
      <c r="A27" s="2">
        <v>25</v>
      </c>
      <c r="B27" s="2" t="s">
        <v>38</v>
      </c>
      <c r="C27" s="2">
        <v>98</v>
      </c>
      <c r="D27" s="2">
        <v>78</v>
      </c>
      <c r="E27" s="2">
        <v>85</v>
      </c>
      <c r="F27" s="2">
        <v>65</v>
      </c>
      <c r="G27" s="2">
        <v>90</v>
      </c>
      <c r="H27" s="2">
        <f t="shared" si="0"/>
        <v>416</v>
      </c>
      <c r="I27" s="2">
        <f t="shared" si="1"/>
        <v>65</v>
      </c>
      <c r="J27" s="2">
        <f t="shared" si="2"/>
        <v>98</v>
      </c>
      <c r="K27" s="2">
        <f t="shared" si="3"/>
        <v>83.2</v>
      </c>
      <c r="L27" s="2" t="str">
        <f t="shared" si="4"/>
        <v>PASS</v>
      </c>
      <c r="M27" s="2">
        <f t="shared" si="5"/>
        <v>4</v>
      </c>
      <c r="N27" s="3" t="str">
        <f t="shared" si="6"/>
        <v>A</v>
      </c>
    </row>
    <row r="28" spans="1:14" x14ac:dyDescent="0.25">
      <c r="A28" s="2">
        <v>26</v>
      </c>
      <c r="B28" s="2" t="s">
        <v>39</v>
      </c>
      <c r="C28" s="2">
        <v>80</v>
      </c>
      <c r="D28" s="2">
        <v>45</v>
      </c>
      <c r="E28" s="2">
        <v>68</v>
      </c>
      <c r="F28" s="2">
        <v>75</v>
      </c>
      <c r="G28" s="2">
        <v>84</v>
      </c>
      <c r="H28" s="2">
        <f t="shared" si="0"/>
        <v>352</v>
      </c>
      <c r="I28" s="2">
        <f t="shared" si="1"/>
        <v>45</v>
      </c>
      <c r="J28" s="2">
        <f t="shared" si="2"/>
        <v>84</v>
      </c>
      <c r="K28" s="2">
        <f t="shared" si="3"/>
        <v>70.400000000000006</v>
      </c>
      <c r="L28" s="2" t="str">
        <f t="shared" si="4"/>
        <v>PASS</v>
      </c>
      <c r="M28" s="2">
        <f t="shared" si="5"/>
        <v>17</v>
      </c>
      <c r="N28" s="3" t="str">
        <f t="shared" si="6"/>
        <v>B</v>
      </c>
    </row>
    <row r="29" spans="1:14" x14ac:dyDescent="0.25">
      <c r="A29" s="2">
        <v>27</v>
      </c>
      <c r="B29" s="2" t="s">
        <v>40</v>
      </c>
      <c r="C29" s="2">
        <v>45</v>
      </c>
      <c r="D29" s="2">
        <v>52</v>
      </c>
      <c r="E29" s="2">
        <v>63</v>
      </c>
      <c r="F29" s="2">
        <v>14</v>
      </c>
      <c r="G29" s="2">
        <v>89</v>
      </c>
      <c r="H29" s="2">
        <f t="shared" si="0"/>
        <v>263</v>
      </c>
      <c r="I29" s="2">
        <f t="shared" si="1"/>
        <v>14</v>
      </c>
      <c r="J29" s="2">
        <f t="shared" si="2"/>
        <v>89</v>
      </c>
      <c r="K29" s="2">
        <f t="shared" si="3"/>
        <v>52.6</v>
      </c>
      <c r="L29" s="2" t="str">
        <f t="shared" si="4"/>
        <v>ATKT</v>
      </c>
      <c r="M29" s="2" t="str">
        <f t="shared" si="5"/>
        <v>-</v>
      </c>
      <c r="N29" s="3" t="str">
        <f t="shared" si="6"/>
        <v/>
      </c>
    </row>
    <row r="30" spans="1:14" x14ac:dyDescent="0.25">
      <c r="A30" s="2">
        <v>28</v>
      </c>
      <c r="B30" s="2" t="s">
        <v>41</v>
      </c>
      <c r="C30" s="2">
        <v>98</v>
      </c>
      <c r="D30" s="2">
        <v>56</v>
      </c>
      <c r="E30" s="2">
        <v>54</v>
      </c>
      <c r="F30" s="2">
        <v>65</v>
      </c>
      <c r="G30" s="2">
        <v>75</v>
      </c>
      <c r="H30" s="2">
        <f t="shared" si="0"/>
        <v>348</v>
      </c>
      <c r="I30" s="2">
        <f t="shared" si="1"/>
        <v>54</v>
      </c>
      <c r="J30" s="2">
        <f t="shared" si="2"/>
        <v>98</v>
      </c>
      <c r="K30" s="2">
        <f t="shared" si="3"/>
        <v>69.599999999999994</v>
      </c>
      <c r="L30" s="2" t="str">
        <f t="shared" si="4"/>
        <v>PASS</v>
      </c>
      <c r="M30" s="2">
        <f t="shared" si="5"/>
        <v>18</v>
      </c>
      <c r="N30" s="3" t="str">
        <f t="shared" si="6"/>
        <v>B</v>
      </c>
    </row>
    <row r="31" spans="1:14" x14ac:dyDescent="0.25">
      <c r="A31" s="2">
        <v>29</v>
      </c>
      <c r="B31" s="2" t="s">
        <v>42</v>
      </c>
      <c r="C31" s="2">
        <v>85</v>
      </c>
      <c r="D31" s="2">
        <v>56</v>
      </c>
      <c r="E31" s="2">
        <v>42</v>
      </c>
      <c r="F31" s="2">
        <v>28</v>
      </c>
      <c r="G31" s="2">
        <v>40</v>
      </c>
      <c r="H31" s="2">
        <f t="shared" si="0"/>
        <v>251</v>
      </c>
      <c r="I31" s="2">
        <f t="shared" si="1"/>
        <v>28</v>
      </c>
      <c r="J31" s="2">
        <f t="shared" si="2"/>
        <v>85</v>
      </c>
      <c r="K31" s="2">
        <f t="shared" si="3"/>
        <v>50.2</v>
      </c>
      <c r="L31" s="2" t="str">
        <f t="shared" si="4"/>
        <v>ATKT</v>
      </c>
      <c r="M31" s="2" t="str">
        <f t="shared" si="5"/>
        <v>-</v>
      </c>
      <c r="N31" s="3" t="str">
        <f t="shared" si="6"/>
        <v/>
      </c>
    </row>
    <row r="32" spans="1:14" x14ac:dyDescent="0.25">
      <c r="A32" s="2">
        <v>30</v>
      </c>
      <c r="B32" s="2" t="s">
        <v>43</v>
      </c>
      <c r="C32" s="2">
        <v>85</v>
      </c>
      <c r="D32" s="2">
        <v>96</v>
      </c>
      <c r="E32" s="2">
        <v>63</v>
      </c>
      <c r="F32" s="2">
        <v>74</v>
      </c>
      <c r="G32" s="2">
        <v>45</v>
      </c>
      <c r="H32" s="2">
        <f t="shared" si="0"/>
        <v>363</v>
      </c>
      <c r="I32" s="2">
        <f t="shared" si="1"/>
        <v>45</v>
      </c>
      <c r="J32" s="2">
        <f t="shared" si="2"/>
        <v>96</v>
      </c>
      <c r="K32" s="2">
        <f t="shared" si="3"/>
        <v>72.599999999999994</v>
      </c>
      <c r="L32" s="2" t="str">
        <f t="shared" si="4"/>
        <v>PASS</v>
      </c>
      <c r="M32" s="2">
        <f t="shared" si="5"/>
        <v>11</v>
      </c>
      <c r="N32" s="3" t="str">
        <f t="shared" si="6"/>
        <v>B</v>
      </c>
    </row>
    <row r="33" spans="1:16" x14ac:dyDescent="0.25">
      <c r="A33" s="2">
        <v>31</v>
      </c>
      <c r="B33" s="2" t="s">
        <v>44</v>
      </c>
      <c r="C33" s="2">
        <v>56</v>
      </c>
      <c r="D33" s="2">
        <v>45</v>
      </c>
      <c r="E33" s="2">
        <v>52</v>
      </c>
      <c r="F33" s="2">
        <v>35</v>
      </c>
      <c r="G33" s="2">
        <v>40</v>
      </c>
      <c r="H33" s="2">
        <f t="shared" si="0"/>
        <v>228</v>
      </c>
      <c r="I33" s="2">
        <f t="shared" si="1"/>
        <v>35</v>
      </c>
      <c r="J33" s="2">
        <f t="shared" si="2"/>
        <v>56</v>
      </c>
      <c r="K33" s="2">
        <f t="shared" si="3"/>
        <v>45.6</v>
      </c>
      <c r="L33" s="2" t="str">
        <f t="shared" si="4"/>
        <v>PASS</v>
      </c>
      <c r="M33" s="2">
        <f t="shared" si="5"/>
        <v>40</v>
      </c>
      <c r="N33" s="3" t="str">
        <f t="shared" si="6"/>
        <v>C</v>
      </c>
    </row>
    <row r="34" spans="1:16" x14ac:dyDescent="0.25">
      <c r="A34" s="2">
        <v>32</v>
      </c>
      <c r="B34" s="2" t="s">
        <v>45</v>
      </c>
      <c r="C34" s="2">
        <v>85</v>
      </c>
      <c r="D34" s="2">
        <v>75</v>
      </c>
      <c r="E34" s="2">
        <v>60</v>
      </c>
      <c r="F34" s="2">
        <v>65</v>
      </c>
      <c r="G34" s="2">
        <v>70</v>
      </c>
      <c r="H34" s="2">
        <f t="shared" si="0"/>
        <v>355</v>
      </c>
      <c r="I34" s="2">
        <f t="shared" si="1"/>
        <v>60</v>
      </c>
      <c r="J34" s="2">
        <f t="shared" si="2"/>
        <v>85</v>
      </c>
      <c r="K34" s="2">
        <f t="shared" si="3"/>
        <v>71</v>
      </c>
      <c r="L34" s="2" t="str">
        <f t="shared" si="4"/>
        <v>PASS</v>
      </c>
      <c r="M34" s="2">
        <f t="shared" si="5"/>
        <v>16</v>
      </c>
      <c r="N34" s="3" t="str">
        <f t="shared" si="6"/>
        <v>B</v>
      </c>
    </row>
    <row r="35" spans="1:16" x14ac:dyDescent="0.25">
      <c r="A35" s="2">
        <v>33</v>
      </c>
      <c r="B35" s="2" t="s">
        <v>46</v>
      </c>
      <c r="C35" s="2">
        <v>78</v>
      </c>
      <c r="D35" s="2">
        <v>96</v>
      </c>
      <c r="E35" s="2">
        <v>85</v>
      </c>
      <c r="F35" s="2">
        <v>90</v>
      </c>
      <c r="G35" s="2">
        <v>81</v>
      </c>
      <c r="H35" s="2">
        <f t="shared" si="0"/>
        <v>430</v>
      </c>
      <c r="I35" s="2">
        <f t="shared" si="1"/>
        <v>78</v>
      </c>
      <c r="J35" s="2">
        <f t="shared" si="2"/>
        <v>96</v>
      </c>
      <c r="K35" s="2">
        <f t="shared" si="3"/>
        <v>86</v>
      </c>
      <c r="L35" s="2" t="str">
        <f t="shared" si="4"/>
        <v>PASS</v>
      </c>
      <c r="M35" s="2">
        <f t="shared" si="5"/>
        <v>1</v>
      </c>
      <c r="N35" s="3" t="str">
        <f t="shared" si="6"/>
        <v>A</v>
      </c>
    </row>
    <row r="36" spans="1:16" x14ac:dyDescent="0.25">
      <c r="A36" s="2">
        <v>34</v>
      </c>
      <c r="B36" s="2" t="s">
        <v>47</v>
      </c>
      <c r="C36" s="2">
        <v>45</v>
      </c>
      <c r="D36" s="2">
        <v>69</v>
      </c>
      <c r="E36" s="2">
        <v>70</v>
      </c>
      <c r="F36" s="2">
        <v>52</v>
      </c>
      <c r="G36" s="2">
        <v>63</v>
      </c>
      <c r="H36" s="2">
        <f t="shared" si="0"/>
        <v>299</v>
      </c>
      <c r="I36" s="2">
        <f t="shared" si="1"/>
        <v>45</v>
      </c>
      <c r="J36" s="2">
        <f t="shared" si="2"/>
        <v>70</v>
      </c>
      <c r="K36" s="2">
        <f t="shared" si="3"/>
        <v>59.8</v>
      </c>
      <c r="L36" s="2" t="str">
        <f t="shared" si="4"/>
        <v>PASS</v>
      </c>
      <c r="M36" s="2">
        <f t="shared" si="5"/>
        <v>28</v>
      </c>
      <c r="N36" s="3" t="str">
        <f t="shared" si="6"/>
        <v>C</v>
      </c>
    </row>
    <row r="37" spans="1:16" x14ac:dyDescent="0.25">
      <c r="A37" s="2">
        <v>35</v>
      </c>
      <c r="B37" s="2" t="s">
        <v>48</v>
      </c>
      <c r="C37" s="2">
        <v>63</v>
      </c>
      <c r="D37" s="2">
        <v>70</v>
      </c>
      <c r="E37" s="2">
        <v>75</v>
      </c>
      <c r="F37" s="2">
        <v>81</v>
      </c>
      <c r="G37" s="2">
        <v>68</v>
      </c>
      <c r="H37" s="2">
        <f t="shared" si="0"/>
        <v>357</v>
      </c>
      <c r="I37" s="2">
        <f t="shared" si="1"/>
        <v>63</v>
      </c>
      <c r="J37" s="2">
        <f t="shared" si="2"/>
        <v>81</v>
      </c>
      <c r="K37" s="2">
        <f t="shared" si="3"/>
        <v>71.400000000000006</v>
      </c>
      <c r="L37" s="2" t="str">
        <f t="shared" si="4"/>
        <v>PASS</v>
      </c>
      <c r="M37" s="2">
        <f t="shared" si="5"/>
        <v>14</v>
      </c>
      <c r="N37" s="3" t="str">
        <f t="shared" si="6"/>
        <v>B</v>
      </c>
      <c r="P37" t="s">
        <v>60</v>
      </c>
    </row>
    <row r="38" spans="1:16" x14ac:dyDescent="0.25">
      <c r="A38" s="2">
        <v>36</v>
      </c>
      <c r="B38" s="2" t="s">
        <v>49</v>
      </c>
      <c r="C38" s="2">
        <v>26</v>
      </c>
      <c r="D38" s="2">
        <v>23</v>
      </c>
      <c r="E38" s="2">
        <v>45</v>
      </c>
      <c r="F38" s="2">
        <v>40</v>
      </c>
      <c r="G38" s="2">
        <v>51</v>
      </c>
      <c r="H38" s="2">
        <f t="shared" si="0"/>
        <v>185</v>
      </c>
      <c r="I38" s="2">
        <f t="shared" si="1"/>
        <v>23</v>
      </c>
      <c r="J38" s="2">
        <f t="shared" si="2"/>
        <v>51</v>
      </c>
      <c r="K38" s="2">
        <f t="shared" si="3"/>
        <v>37</v>
      </c>
      <c r="L38" s="2" t="str">
        <f t="shared" si="4"/>
        <v>ATKT</v>
      </c>
      <c r="M38" s="2" t="str">
        <f t="shared" si="5"/>
        <v>-</v>
      </c>
      <c r="N38" s="3" t="str">
        <f t="shared" si="6"/>
        <v/>
      </c>
    </row>
    <row r="39" spans="1:16" x14ac:dyDescent="0.25">
      <c r="A39" s="2">
        <v>37</v>
      </c>
      <c r="B39" s="2" t="s">
        <v>50</v>
      </c>
      <c r="C39" s="2">
        <v>65</v>
      </c>
      <c r="D39" s="2">
        <v>67</v>
      </c>
      <c r="E39" s="2">
        <v>90</v>
      </c>
      <c r="F39" s="2">
        <v>9</v>
      </c>
      <c r="G39" s="2">
        <v>86</v>
      </c>
      <c r="H39" s="2">
        <f t="shared" si="0"/>
        <v>317</v>
      </c>
      <c r="I39" s="2">
        <f t="shared" si="1"/>
        <v>9</v>
      </c>
      <c r="J39" s="2">
        <f t="shared" si="2"/>
        <v>90</v>
      </c>
      <c r="K39" s="2">
        <f t="shared" si="3"/>
        <v>63.4</v>
      </c>
      <c r="L39" s="2" t="str">
        <f t="shared" si="4"/>
        <v>ATKT</v>
      </c>
      <c r="M39" s="2" t="str">
        <f t="shared" si="5"/>
        <v>-</v>
      </c>
      <c r="N39" s="3" t="str">
        <f t="shared" si="6"/>
        <v/>
      </c>
    </row>
    <row r="40" spans="1:16" x14ac:dyDescent="0.25">
      <c r="A40" s="2">
        <v>38</v>
      </c>
      <c r="B40" s="2" t="s">
        <v>51</v>
      </c>
      <c r="C40" s="2">
        <v>75</v>
      </c>
      <c r="D40" s="2">
        <v>56</v>
      </c>
      <c r="E40" s="2">
        <v>85</v>
      </c>
      <c r="F40" s="2">
        <v>84</v>
      </c>
      <c r="G40" s="2">
        <v>56</v>
      </c>
      <c r="H40" s="2">
        <f t="shared" si="0"/>
        <v>356</v>
      </c>
      <c r="I40" s="2">
        <f t="shared" si="1"/>
        <v>56</v>
      </c>
      <c r="J40" s="2">
        <f t="shared" si="2"/>
        <v>85</v>
      </c>
      <c r="K40" s="2">
        <f t="shared" si="3"/>
        <v>71.2</v>
      </c>
      <c r="L40" s="2" t="str">
        <f t="shared" si="4"/>
        <v>PASS</v>
      </c>
      <c r="M40" s="2">
        <f t="shared" si="5"/>
        <v>15</v>
      </c>
      <c r="N40" s="3" t="str">
        <f t="shared" si="6"/>
        <v>B</v>
      </c>
    </row>
    <row r="41" spans="1:16" x14ac:dyDescent="0.25">
      <c r="A41" s="2">
        <v>39</v>
      </c>
      <c r="B41" s="2" t="s">
        <v>52</v>
      </c>
      <c r="C41" s="2">
        <v>78</v>
      </c>
      <c r="D41" s="2">
        <v>56</v>
      </c>
      <c r="E41" s="2">
        <v>41</v>
      </c>
      <c r="F41" s="2">
        <v>59</v>
      </c>
      <c r="G41" s="2">
        <v>85</v>
      </c>
      <c r="H41" s="2">
        <f t="shared" si="0"/>
        <v>319</v>
      </c>
      <c r="I41" s="2">
        <f t="shared" si="1"/>
        <v>41</v>
      </c>
      <c r="J41" s="2">
        <f t="shared" si="2"/>
        <v>85</v>
      </c>
      <c r="K41" s="2">
        <f t="shared" si="3"/>
        <v>63.8</v>
      </c>
      <c r="L41" s="2" t="str">
        <f t="shared" si="4"/>
        <v>PASS</v>
      </c>
      <c r="M41" s="2">
        <f t="shared" si="5"/>
        <v>24</v>
      </c>
      <c r="N41" s="3" t="str">
        <f t="shared" si="6"/>
        <v>B</v>
      </c>
    </row>
    <row r="42" spans="1:16" x14ac:dyDescent="0.25">
      <c r="A42" s="2">
        <v>40</v>
      </c>
      <c r="B42" s="2" t="s">
        <v>53</v>
      </c>
      <c r="C42" s="2">
        <v>75</v>
      </c>
      <c r="D42" s="2">
        <v>89</v>
      </c>
      <c r="E42" s="2">
        <v>84</v>
      </c>
      <c r="F42" s="2">
        <v>90</v>
      </c>
      <c r="G42" s="2">
        <v>91</v>
      </c>
      <c r="H42" s="2">
        <f t="shared" si="0"/>
        <v>429</v>
      </c>
      <c r="I42" s="2">
        <f t="shared" si="1"/>
        <v>75</v>
      </c>
      <c r="J42" s="2">
        <f t="shared" si="2"/>
        <v>91</v>
      </c>
      <c r="K42" s="2">
        <f t="shared" si="3"/>
        <v>85.8</v>
      </c>
      <c r="L42" s="2" t="str">
        <f t="shared" si="4"/>
        <v>PASS</v>
      </c>
      <c r="M42" s="2">
        <f t="shared" si="5"/>
        <v>2</v>
      </c>
      <c r="N42" s="3" t="str">
        <f t="shared" si="6"/>
        <v>A</v>
      </c>
    </row>
    <row r="43" spans="1:16" x14ac:dyDescent="0.25">
      <c r="A43" s="2">
        <v>41</v>
      </c>
      <c r="B43" s="2" t="s">
        <v>54</v>
      </c>
      <c r="C43" s="2">
        <v>45</v>
      </c>
      <c r="D43" s="2">
        <v>56</v>
      </c>
      <c r="E43" s="2">
        <v>41</v>
      </c>
      <c r="F43" s="2">
        <v>89</v>
      </c>
      <c r="G43" s="2">
        <v>56</v>
      </c>
      <c r="H43" s="2">
        <f t="shared" si="0"/>
        <v>287</v>
      </c>
      <c r="I43" s="2">
        <f t="shared" si="1"/>
        <v>41</v>
      </c>
      <c r="J43" s="2">
        <f t="shared" si="2"/>
        <v>89</v>
      </c>
      <c r="K43" s="2">
        <f t="shared" si="3"/>
        <v>57.4</v>
      </c>
      <c r="L43" s="2" t="str">
        <f t="shared" si="4"/>
        <v>PASS</v>
      </c>
      <c r="M43" s="2">
        <f t="shared" si="5"/>
        <v>30</v>
      </c>
      <c r="N43" s="3" t="str">
        <f t="shared" si="6"/>
        <v>C</v>
      </c>
    </row>
    <row r="44" spans="1:16" x14ac:dyDescent="0.25">
      <c r="A44" s="2">
        <v>42</v>
      </c>
      <c r="B44" s="2" t="s">
        <v>55</v>
      </c>
      <c r="C44" s="2">
        <v>59</v>
      </c>
      <c r="D44" s="2">
        <v>56</v>
      </c>
      <c r="E44" s="2">
        <v>50</v>
      </c>
      <c r="F44" s="2">
        <v>67</v>
      </c>
      <c r="G44" s="2">
        <v>40</v>
      </c>
      <c r="H44" s="2">
        <f t="shared" si="0"/>
        <v>272</v>
      </c>
      <c r="I44" s="2">
        <f t="shared" si="1"/>
        <v>40</v>
      </c>
      <c r="J44" s="2">
        <f t="shared" si="2"/>
        <v>67</v>
      </c>
      <c r="K44" s="2">
        <f t="shared" si="3"/>
        <v>54.4</v>
      </c>
      <c r="L44" s="2" t="str">
        <f t="shared" si="4"/>
        <v>PASS</v>
      </c>
      <c r="M44" s="2">
        <f t="shared" si="5"/>
        <v>32</v>
      </c>
      <c r="N44" s="3" t="str">
        <f t="shared" si="6"/>
        <v>C</v>
      </c>
    </row>
    <row r="45" spans="1:16" x14ac:dyDescent="0.25">
      <c r="A45" s="2">
        <v>43</v>
      </c>
      <c r="B45" s="2" t="s">
        <v>56</v>
      </c>
      <c r="C45" s="2">
        <v>23</v>
      </c>
      <c r="D45" s="2">
        <v>42</v>
      </c>
      <c r="E45" s="2">
        <v>52</v>
      </c>
      <c r="F45" s="2">
        <v>12</v>
      </c>
      <c r="G45" s="2">
        <v>32</v>
      </c>
      <c r="H45" s="2">
        <f t="shared" si="0"/>
        <v>161</v>
      </c>
      <c r="I45" s="2">
        <f t="shared" si="1"/>
        <v>12</v>
      </c>
      <c r="J45" s="2">
        <f t="shared" si="2"/>
        <v>52</v>
      </c>
      <c r="K45" s="2">
        <f t="shared" si="3"/>
        <v>32.200000000000003</v>
      </c>
      <c r="L45" s="2" t="str">
        <f t="shared" si="4"/>
        <v>ATKT</v>
      </c>
      <c r="M45" s="2" t="str">
        <f t="shared" si="5"/>
        <v>-</v>
      </c>
      <c r="N45" s="3" t="str">
        <f t="shared" si="6"/>
        <v/>
      </c>
    </row>
    <row r="46" spans="1:16" x14ac:dyDescent="0.25">
      <c r="A46" s="2">
        <v>44</v>
      </c>
      <c r="B46" s="2" t="s">
        <v>57</v>
      </c>
      <c r="C46" s="2">
        <v>26</v>
      </c>
      <c r="D46" s="2">
        <v>23</v>
      </c>
      <c r="E46" s="2">
        <v>12</v>
      </c>
      <c r="F46" s="2">
        <v>41</v>
      </c>
      <c r="G46" s="2">
        <v>2</v>
      </c>
      <c r="H46" s="2">
        <f t="shared" si="0"/>
        <v>104</v>
      </c>
      <c r="I46" s="2">
        <f t="shared" si="1"/>
        <v>2</v>
      </c>
      <c r="J46" s="2">
        <f t="shared" si="2"/>
        <v>41</v>
      </c>
      <c r="K46" s="2">
        <f t="shared" si="3"/>
        <v>20.8</v>
      </c>
      <c r="L46" s="5" t="str">
        <f t="shared" si="4"/>
        <v>FAIL</v>
      </c>
      <c r="M46" s="2" t="str">
        <f t="shared" si="5"/>
        <v>-</v>
      </c>
      <c r="N46" s="3" t="str">
        <f t="shared" si="6"/>
        <v/>
      </c>
    </row>
    <row r="47" spans="1:16" x14ac:dyDescent="0.25">
      <c r="A47" s="2">
        <v>45</v>
      </c>
      <c r="B47" s="2" t="s">
        <v>58</v>
      </c>
      <c r="C47" s="2">
        <v>79</v>
      </c>
      <c r="D47" s="2">
        <v>45</v>
      </c>
      <c r="E47" s="2">
        <v>62</v>
      </c>
      <c r="F47" s="2">
        <v>32</v>
      </c>
      <c r="G47" s="2">
        <v>72</v>
      </c>
      <c r="H47" s="2">
        <f t="shared" si="0"/>
        <v>290</v>
      </c>
      <c r="I47" s="2">
        <f t="shared" si="1"/>
        <v>32</v>
      </c>
      <c r="J47" s="2">
        <f t="shared" si="2"/>
        <v>79</v>
      </c>
      <c r="K47" s="2">
        <f t="shared" si="3"/>
        <v>58</v>
      </c>
      <c r="L47" s="2" t="str">
        <f t="shared" si="4"/>
        <v>ATKT</v>
      </c>
      <c r="M47" s="2" t="str">
        <f t="shared" si="5"/>
        <v>-</v>
      </c>
      <c r="N47" s="3" t="str">
        <f t="shared" si="6"/>
        <v/>
      </c>
    </row>
  </sheetData>
  <mergeCells count="1">
    <mergeCell ref="A1:N1"/>
  </mergeCells>
  <conditionalFormatting sqref="L46">
    <cfRule type="cellIs" dxfId="0" priority="1" operator="equal">
      <formula>"FAIL"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PC14</dc:creator>
  <cp:lastModifiedBy>PC14</cp:lastModifiedBy>
  <dcterms:created xsi:type="dcterms:W3CDTF">2026-08-13T07:05:05Z</dcterms:created>
  <dcterms:modified xsi:type="dcterms:W3CDTF">2026-08-18T10:27:24Z</dcterms:modified>
</cp:coreProperties>
</file>