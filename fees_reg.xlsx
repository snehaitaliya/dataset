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sci\Dataset\"/>
    </mc:Choice>
  </mc:AlternateContent>
  <bookViews>
    <workbookView xWindow="0" yWindow="0" windowWidth="19200" windowHeight="11595" activeTab="1"/>
  </bookViews>
  <sheets>
    <sheet name="STUDENT_REGISTER" sheetId="1" r:id="rId1"/>
    <sheet name="FEES_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G7" i="1" s="1"/>
  <c r="F8" i="1"/>
  <c r="G8" i="1" s="1"/>
  <c r="F9" i="1"/>
  <c r="G9" i="1" s="1"/>
  <c r="F10" i="1"/>
  <c r="F11" i="1"/>
  <c r="G11" i="1" s="1"/>
  <c r="F12" i="1"/>
  <c r="F13" i="1"/>
  <c r="G13" i="1" s="1"/>
  <c r="F14" i="1"/>
  <c r="F15" i="1"/>
  <c r="G15" i="1" s="1"/>
  <c r="F16" i="1"/>
  <c r="G16" i="1" s="1"/>
  <c r="F17" i="1"/>
  <c r="G17" i="1" s="1"/>
  <c r="F3" i="1"/>
  <c r="G3" i="1" s="1"/>
  <c r="G4" i="1"/>
  <c r="G5" i="1"/>
  <c r="G6" i="1"/>
  <c r="G10" i="1"/>
  <c r="G12" i="1"/>
  <c r="G14" i="1"/>
</calcChain>
</file>

<file path=xl/sharedStrings.xml><?xml version="1.0" encoding="utf-8"?>
<sst xmlns="http://schemas.openxmlformats.org/spreadsheetml/2006/main" count="61" uniqueCount="32">
  <si>
    <t>STUDENT REGISTER</t>
  </si>
  <si>
    <t>NO</t>
  </si>
  <si>
    <t>NAME</t>
  </si>
  <si>
    <t>COURCE</t>
  </si>
  <si>
    <t>FEES</t>
  </si>
  <si>
    <t>PAID FEES</t>
  </si>
  <si>
    <t>PENDING FEES</t>
  </si>
  <si>
    <t>ITALIYA SNEHA</t>
  </si>
  <si>
    <t>DATA SCIENCE</t>
  </si>
  <si>
    <t>KATHIRIYA MAITRI</t>
  </si>
  <si>
    <t>CYBER SECURITY</t>
  </si>
  <si>
    <t>JOIN DATE</t>
  </si>
  <si>
    <t>KADEVAL YASHVI</t>
  </si>
  <si>
    <t>HIRAPARA DWARKESH</t>
  </si>
  <si>
    <t>VAGHASIYA HASTI</t>
  </si>
  <si>
    <t>VIDEO EDITING</t>
  </si>
  <si>
    <t>SAKARIYA DHRUVI</t>
  </si>
  <si>
    <t>SHINGALA DEEP</t>
  </si>
  <si>
    <t>KACHHADIYA KEYUR</t>
  </si>
  <si>
    <t>WEB DESIGNING</t>
  </si>
  <si>
    <t>PIDHADIYA RAJVI</t>
  </si>
  <si>
    <t>RADADIYA VRUSHABH</t>
  </si>
  <si>
    <t>FULLSTACK</t>
  </si>
  <si>
    <t>DANGODARA DARSHNA</t>
  </si>
  <si>
    <t>DIYORA ARCHI</t>
  </si>
  <si>
    <t>LATHIYA VISHVA</t>
  </si>
  <si>
    <t>KAKADIYA FENA</t>
  </si>
  <si>
    <t>GRAPHICS DESIGN</t>
  </si>
  <si>
    <t>LUKHI RAHUL</t>
  </si>
  <si>
    <t>FEES REGISTER</t>
  </si>
  <si>
    <t>PAY INSTALLMENT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</si>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</sst>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F3" sqref="F3"/>
    </sheetView>
  </sheetViews>
  <sheetFormatPr defaultRowHeight="15" x14ac:dyDescent="0.25"/>
  <cols>
    <col min="1" max="1" width="9" customWidth="1"/>
    <col min="2" max="3" width="26.42578125" customWidth="1"/>
    <col min="4" max="4" width="17.28515625" customWidth="1"/>
    <col min="5" max="5" width="17.42578125" customWidth="1"/>
    <col min="6" max="6" width="18.85546875" customWidth="1"/>
    <col min="7" max="7" width="18.140625" customWidth="1"/>
  </cols>
  <sheetData>
    <row r="1" spans="1:7" ht="26.25" x14ac:dyDescent="0.4">
      <c r="A1" s="6" t="s">
        <v>0</v>
      </c>
      <c r="B1" s="6"/>
      <c r="C1" s="6"/>
      <c r="D1" s="6"/>
      <c r="E1" s="6"/>
      <c r="F1" s="6"/>
      <c r="G1" s="6"/>
    </row>
    <row r="2" spans="1:7" ht="18.75" x14ac:dyDescent="0.3">
      <c r="A2" s="2" t="s">
        <v>1</v>
      </c>
      <c r="B2" s="2" t="s">
        <v>2</v>
      </c>
      <c r="C2" s="2" t="s">
        <v>3</v>
      </c>
      <c r="D2" s="2" t="s">
        <v>11</v>
      </c>
      <c r="E2" s="2" t="s">
        <v>4</v>
      </c>
      <c r="F2" s="2" t="s">
        <v>5</v>
      </c>
      <c r="G2" s="2" t="s">
        <v>6</v>
      </c>
    </row>
    <row r="3" spans="1:7" x14ac:dyDescent="0.25">
      <c r="A3" s="3">
        <v>1</v>
      </c>
      <c r="B3" s="3" t="s">
        <v>7</v>
      </c>
      <c r="C3" s="3" t="s">
        <v>8</v>
      </c>
      <c r="D3" s="4">
        <v>46175</v>
      </c>
      <c r="E3" s="3">
        <v>95000</v>
      </c>
      <c r="F3" s="3">
        <f>SUMIF(FEES_REGISTER!$B$3:$B$23,B3,FEES_REGISTER!$C$3:$C$23)</f>
        <v>40000</v>
      </c>
      <c r="G3" s="3">
        <f>E3-F3</f>
        <v>55000</v>
      </c>
    </row>
    <row r="4" spans="1:7" x14ac:dyDescent="0.25">
      <c r="A4" s="3">
        <v>2</v>
      </c>
      <c r="B4" s="3" t="s">
        <v>9</v>
      </c>
      <c r="C4" s="3" t="s">
        <v>10</v>
      </c>
      <c r="D4" s="4">
        <v>46175</v>
      </c>
      <c r="E4" s="3">
        <v>80000</v>
      </c>
      <c r="F4" s="3">
        <f>SUMIF(FEES_REGISTER!$B$3:$B$23,B4,FEES_REGISTER!$C$3:$C$23)</f>
        <v>15000</v>
      </c>
      <c r="G4" s="3">
        <f t="shared" ref="G4:G17" si="0">E4-F4</f>
        <v>65000</v>
      </c>
    </row>
    <row r="5" spans="1:7" x14ac:dyDescent="0.25">
      <c r="A5" s="3">
        <v>3</v>
      </c>
      <c r="B5" s="3" t="s">
        <v>12</v>
      </c>
      <c r="C5" s="3" t="s">
        <v>19</v>
      </c>
      <c r="D5" s="4">
        <v>46175</v>
      </c>
      <c r="E5" s="3">
        <v>65000</v>
      </c>
      <c r="F5" s="3">
        <f>SUMIF(FEES_REGISTER!$B$3:$B$23,B5,FEES_REGISTER!$C$3:$C$23)</f>
        <v>65000</v>
      </c>
      <c r="G5" s="3">
        <f t="shared" si="0"/>
        <v>0</v>
      </c>
    </row>
    <row r="6" spans="1:7" x14ac:dyDescent="0.25">
      <c r="A6" s="3">
        <v>4</v>
      </c>
      <c r="B6" s="3" t="s">
        <v>13</v>
      </c>
      <c r="C6" s="3" t="s">
        <v>8</v>
      </c>
      <c r="D6" s="4">
        <v>46176</v>
      </c>
      <c r="E6" s="3">
        <v>95000</v>
      </c>
      <c r="F6" s="3">
        <f>SUMIF(FEES_REGISTER!$B$3:$B$23,B6,FEES_REGISTER!$C$3:$C$23)</f>
        <v>70000</v>
      </c>
      <c r="G6" s="3">
        <f t="shared" si="0"/>
        <v>25000</v>
      </c>
    </row>
    <row r="7" spans="1:7" x14ac:dyDescent="0.25">
      <c r="A7" s="3">
        <v>5</v>
      </c>
      <c r="B7" s="3" t="s">
        <v>14</v>
      </c>
      <c r="C7" s="3" t="s">
        <v>15</v>
      </c>
      <c r="D7" s="4">
        <v>46176</v>
      </c>
      <c r="E7" s="3">
        <v>70000</v>
      </c>
      <c r="F7" s="3">
        <f>SUMIF(FEES_REGISTER!$B$3:$B$23,B7,FEES_REGISTER!$C$3:$C$23)</f>
        <v>2000</v>
      </c>
      <c r="G7" s="3">
        <f t="shared" si="0"/>
        <v>68000</v>
      </c>
    </row>
    <row r="8" spans="1:7" x14ac:dyDescent="0.25">
      <c r="A8" s="3">
        <v>6</v>
      </c>
      <c r="B8" s="3" t="s">
        <v>16</v>
      </c>
      <c r="C8" s="3" t="s">
        <v>8</v>
      </c>
      <c r="D8" s="4">
        <v>46176</v>
      </c>
      <c r="E8" s="3">
        <v>95000</v>
      </c>
      <c r="F8" s="3">
        <f>SUMIF(FEES_REGISTER!$B$3:$B$23,B8,FEES_REGISTER!$C$3:$C$23)</f>
        <v>10000</v>
      </c>
      <c r="G8" s="3">
        <f t="shared" si="0"/>
        <v>85000</v>
      </c>
    </row>
    <row r="9" spans="1:7" x14ac:dyDescent="0.25">
      <c r="A9" s="3">
        <v>7</v>
      </c>
      <c r="B9" s="3" t="s">
        <v>17</v>
      </c>
      <c r="C9" s="3" t="s">
        <v>15</v>
      </c>
      <c r="D9" s="4">
        <v>46177</v>
      </c>
      <c r="E9" s="3">
        <v>70000</v>
      </c>
      <c r="F9" s="3">
        <f>SUMIF(FEES_REGISTER!$B$3:$B$23,B9,FEES_REGISTER!$C$3:$C$23)</f>
        <v>20000</v>
      </c>
      <c r="G9" s="3">
        <f t="shared" si="0"/>
        <v>50000</v>
      </c>
    </row>
    <row r="10" spans="1:7" x14ac:dyDescent="0.25">
      <c r="A10" s="3">
        <v>8</v>
      </c>
      <c r="B10" s="3" t="s">
        <v>18</v>
      </c>
      <c r="C10" s="3" t="s">
        <v>15</v>
      </c>
      <c r="D10" s="4">
        <v>46177</v>
      </c>
      <c r="E10" s="3">
        <v>70000</v>
      </c>
      <c r="F10" s="3">
        <f>SUMIF(FEES_REGISTER!$B$3:$B$23,B10,FEES_REGISTER!$C$3:$C$23)</f>
        <v>10000</v>
      </c>
      <c r="G10" s="3">
        <f t="shared" si="0"/>
        <v>60000</v>
      </c>
    </row>
    <row r="11" spans="1:7" x14ac:dyDescent="0.25">
      <c r="A11" s="3">
        <v>9</v>
      </c>
      <c r="B11" s="3" t="s">
        <v>20</v>
      </c>
      <c r="C11" s="3" t="s">
        <v>15</v>
      </c>
      <c r="D11" s="4">
        <v>46181</v>
      </c>
      <c r="E11" s="3">
        <v>70000</v>
      </c>
      <c r="F11" s="3">
        <f>SUMIF(FEES_REGISTER!$B$3:$B$23,B11,FEES_REGISTER!$C$3:$C$23)</f>
        <v>30000</v>
      </c>
      <c r="G11" s="3">
        <f t="shared" si="0"/>
        <v>40000</v>
      </c>
    </row>
    <row r="12" spans="1:7" x14ac:dyDescent="0.25">
      <c r="A12" s="3">
        <v>10</v>
      </c>
      <c r="B12" s="3" t="s">
        <v>21</v>
      </c>
      <c r="C12" s="3" t="s">
        <v>22</v>
      </c>
      <c r="D12" s="4">
        <v>46185</v>
      </c>
      <c r="E12" s="3">
        <v>75000</v>
      </c>
      <c r="F12" s="3">
        <f>SUMIF(FEES_REGISTER!$B$3:$B$23,B12,FEES_REGISTER!$C$3:$C$23)</f>
        <v>7000</v>
      </c>
      <c r="G12" s="3">
        <f t="shared" si="0"/>
        <v>68000</v>
      </c>
    </row>
    <row r="13" spans="1:7" x14ac:dyDescent="0.25">
      <c r="A13" s="3">
        <v>11</v>
      </c>
      <c r="B13" s="3" t="s">
        <v>23</v>
      </c>
      <c r="C13" s="3" t="s">
        <v>22</v>
      </c>
      <c r="D13" s="4">
        <v>46185</v>
      </c>
      <c r="E13" s="3">
        <v>75000</v>
      </c>
      <c r="F13" s="3">
        <f>SUMIF(FEES_REGISTER!$B$3:$B$23,B13,FEES_REGISTER!$C$3:$C$23)</f>
        <v>25000</v>
      </c>
      <c r="G13" s="3">
        <f t="shared" si="0"/>
        <v>50000</v>
      </c>
    </row>
    <row r="14" spans="1:7" x14ac:dyDescent="0.25">
      <c r="A14" s="3">
        <v>12</v>
      </c>
      <c r="B14" s="3" t="s">
        <v>24</v>
      </c>
      <c r="C14" s="3" t="s">
        <v>19</v>
      </c>
      <c r="D14" s="4">
        <v>46193</v>
      </c>
      <c r="E14" s="3">
        <v>65000</v>
      </c>
      <c r="F14" s="3">
        <f>SUMIF(FEES_REGISTER!$B$3:$B$23,B14,FEES_REGISTER!$C$3:$C$23)</f>
        <v>5000</v>
      </c>
      <c r="G14" s="3">
        <f t="shared" si="0"/>
        <v>60000</v>
      </c>
    </row>
    <row r="15" spans="1:7" x14ac:dyDescent="0.25">
      <c r="A15" s="3">
        <v>13</v>
      </c>
      <c r="B15" s="3" t="s">
        <v>25</v>
      </c>
      <c r="C15" s="3" t="s">
        <v>10</v>
      </c>
      <c r="D15" s="4">
        <v>46195</v>
      </c>
      <c r="E15" s="3">
        <v>80000</v>
      </c>
      <c r="F15" s="3">
        <f>SUMIF(FEES_REGISTER!$B$3:$B$23,B15,FEES_REGISTER!$C$3:$C$23)</f>
        <v>5000</v>
      </c>
      <c r="G15" s="3">
        <f t="shared" si="0"/>
        <v>75000</v>
      </c>
    </row>
    <row r="16" spans="1:7" x14ac:dyDescent="0.25">
      <c r="A16" s="3">
        <v>14</v>
      </c>
      <c r="B16" s="3" t="s">
        <v>26</v>
      </c>
      <c r="C16" s="3" t="s">
        <v>27</v>
      </c>
      <c r="D16" s="4">
        <v>46198</v>
      </c>
      <c r="E16" s="3">
        <v>60000</v>
      </c>
      <c r="F16" s="3">
        <f>SUMIF(FEES_REGISTER!$B$3:$B$23,B16,FEES_REGISTER!$C$3:$C$23)</f>
        <v>25000</v>
      </c>
      <c r="G16" s="3">
        <f t="shared" si="0"/>
        <v>35000</v>
      </c>
    </row>
    <row r="17" spans="1:7" x14ac:dyDescent="0.25">
      <c r="A17" s="3">
        <v>15</v>
      </c>
      <c r="B17" s="3" t="s">
        <v>28</v>
      </c>
      <c r="C17" s="3" t="s">
        <v>10</v>
      </c>
      <c r="D17" s="4">
        <v>46198</v>
      </c>
      <c r="E17" s="3">
        <v>80000</v>
      </c>
      <c r="F17" s="3">
        <f>SUMIF(FEES_REGISTER!$B$3:$B$23,B17,FEES_REGISTER!$C$3:$C$23)</f>
        <v>20000</v>
      </c>
      <c r="G17" s="3">
        <f t="shared" si="0"/>
        <v>60000</v>
      </c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D21" sqref="D21"/>
    </sheetView>
  </sheetViews>
  <sheetFormatPr defaultRowHeight="15" x14ac:dyDescent="0.25"/>
  <cols>
    <col min="2" max="2" width="27" customWidth="1"/>
    <col min="3" max="3" width="18.85546875" customWidth="1"/>
    <col min="4" max="4" width="17.140625" customWidth="1"/>
  </cols>
  <sheetData>
    <row r="1" spans="1:4" ht="23.25" x14ac:dyDescent="0.35">
      <c r="A1" s="7" t="s">
        <v>29</v>
      </c>
      <c r="B1" s="7"/>
      <c r="C1" s="7"/>
      <c r="D1" s="7"/>
    </row>
    <row r="2" spans="1:4" ht="15.75" x14ac:dyDescent="0.25">
      <c r="A2" s="5" t="s">
        <v>1</v>
      </c>
      <c r="B2" s="5" t="s">
        <v>2</v>
      </c>
      <c r="C2" s="5" t="s">
        <v>30</v>
      </c>
      <c r="D2" s="5" t="s">
        <v>31</v>
      </c>
    </row>
    <row r="3" spans="1:4" x14ac:dyDescent="0.25">
      <c r="A3" s="3">
        <v>1</v>
      </c>
      <c r="B3" s="3" t="s">
        <v>7</v>
      </c>
      <c r="C3" s="3">
        <v>5000</v>
      </c>
      <c r="D3" s="4">
        <v>46175</v>
      </c>
    </row>
    <row r="4" spans="1:4" x14ac:dyDescent="0.25">
      <c r="A4" s="3">
        <v>2</v>
      </c>
      <c r="B4" s="3" t="s">
        <v>14</v>
      </c>
      <c r="C4" s="3">
        <v>2000</v>
      </c>
      <c r="D4" s="4">
        <v>46178</v>
      </c>
    </row>
    <row r="5" spans="1:4" x14ac:dyDescent="0.25">
      <c r="A5" s="3">
        <v>3</v>
      </c>
      <c r="B5" s="3" t="s">
        <v>12</v>
      </c>
      <c r="C5" s="3">
        <v>15000</v>
      </c>
      <c r="D5" s="4">
        <v>46178</v>
      </c>
    </row>
    <row r="6" spans="1:4" x14ac:dyDescent="0.25">
      <c r="A6" s="3">
        <v>4</v>
      </c>
      <c r="B6" s="3" t="s">
        <v>16</v>
      </c>
      <c r="C6" s="3">
        <v>10000</v>
      </c>
      <c r="D6" s="4">
        <v>46183</v>
      </c>
    </row>
    <row r="7" spans="1:4" x14ac:dyDescent="0.25">
      <c r="A7" s="3">
        <v>5</v>
      </c>
      <c r="B7" s="3" t="s">
        <v>17</v>
      </c>
      <c r="C7" s="3">
        <v>20000</v>
      </c>
      <c r="D7" s="4">
        <v>46188</v>
      </c>
    </row>
    <row r="8" spans="1:4" x14ac:dyDescent="0.25">
      <c r="A8" s="3">
        <v>6</v>
      </c>
      <c r="B8" s="3" t="s">
        <v>25</v>
      </c>
      <c r="C8" s="3">
        <v>5000</v>
      </c>
      <c r="D8" s="4">
        <v>46198</v>
      </c>
    </row>
    <row r="9" spans="1:4" x14ac:dyDescent="0.25">
      <c r="A9" s="3">
        <v>7</v>
      </c>
      <c r="B9" s="3" t="s">
        <v>9</v>
      </c>
      <c r="C9" s="3">
        <v>15000</v>
      </c>
      <c r="D9" s="4">
        <v>46198</v>
      </c>
    </row>
    <row r="10" spans="1:4" x14ac:dyDescent="0.25">
      <c r="A10" s="3">
        <v>8</v>
      </c>
      <c r="B10" s="3" t="s">
        <v>21</v>
      </c>
      <c r="C10" s="3">
        <v>7000</v>
      </c>
      <c r="D10" s="4">
        <v>46198</v>
      </c>
    </row>
    <row r="11" spans="1:4" x14ac:dyDescent="0.25">
      <c r="A11" s="3">
        <v>9</v>
      </c>
      <c r="B11" s="3" t="s">
        <v>7</v>
      </c>
      <c r="C11" s="3">
        <v>20000</v>
      </c>
      <c r="D11" s="4">
        <v>46204</v>
      </c>
    </row>
    <row r="12" spans="1:4" x14ac:dyDescent="0.25">
      <c r="A12" s="3">
        <v>10</v>
      </c>
      <c r="B12" s="3" t="s">
        <v>26</v>
      </c>
      <c r="C12" s="3">
        <v>25000</v>
      </c>
      <c r="D12" s="4">
        <v>46209</v>
      </c>
    </row>
    <row r="13" spans="1:4" x14ac:dyDescent="0.25">
      <c r="A13" s="3">
        <v>11</v>
      </c>
      <c r="B13" s="3" t="s">
        <v>13</v>
      </c>
      <c r="C13" s="3">
        <v>70000</v>
      </c>
      <c r="D13" s="4">
        <v>46209</v>
      </c>
    </row>
    <row r="14" spans="1:4" x14ac:dyDescent="0.25">
      <c r="A14" s="3">
        <v>12</v>
      </c>
      <c r="B14" s="3" t="s">
        <v>20</v>
      </c>
      <c r="C14" s="3">
        <v>30000</v>
      </c>
      <c r="D14" s="4">
        <v>46215</v>
      </c>
    </row>
    <row r="15" spans="1:4" x14ac:dyDescent="0.25">
      <c r="A15" s="3">
        <v>13</v>
      </c>
      <c r="B15" s="3" t="s">
        <v>18</v>
      </c>
      <c r="C15" s="3">
        <v>10000</v>
      </c>
      <c r="D15" s="4">
        <v>46217</v>
      </c>
    </row>
    <row r="16" spans="1:4" x14ac:dyDescent="0.25">
      <c r="A16" s="3">
        <v>14</v>
      </c>
      <c r="B16" s="3" t="s">
        <v>23</v>
      </c>
      <c r="C16" s="3">
        <v>25000</v>
      </c>
      <c r="D16" s="4">
        <v>46218</v>
      </c>
    </row>
    <row r="17" spans="1:4" x14ac:dyDescent="0.25">
      <c r="A17" s="3">
        <v>15</v>
      </c>
      <c r="B17" s="3" t="s">
        <v>24</v>
      </c>
      <c r="C17" s="3">
        <v>5000</v>
      </c>
      <c r="D17" s="4">
        <v>46223</v>
      </c>
    </row>
    <row r="18" spans="1:4" x14ac:dyDescent="0.25">
      <c r="A18" s="3">
        <v>16</v>
      </c>
      <c r="B18" s="3" t="s">
        <v>28</v>
      </c>
      <c r="C18" s="3">
        <v>20000</v>
      </c>
      <c r="D18" s="4">
        <v>46228</v>
      </c>
    </row>
    <row r="19" spans="1:4" x14ac:dyDescent="0.25">
      <c r="A19" s="3">
        <v>17</v>
      </c>
      <c r="B19" s="3" t="s">
        <v>7</v>
      </c>
      <c r="C19" s="3">
        <v>15000</v>
      </c>
      <c r="D19" s="4">
        <v>46235</v>
      </c>
    </row>
    <row r="20" spans="1:4" x14ac:dyDescent="0.25">
      <c r="A20" s="3">
        <v>18</v>
      </c>
      <c r="B20" s="3" t="s">
        <v>12</v>
      </c>
      <c r="C20" s="3">
        <v>50000</v>
      </c>
      <c r="D20" s="4">
        <v>46239</v>
      </c>
    </row>
    <row r="21" spans="1:4" x14ac:dyDescent="0.25">
      <c r="A21" s="3">
        <v>19</v>
      </c>
      <c r="B21" s="3"/>
      <c r="C21" s="3"/>
      <c r="D21" s="3"/>
    </row>
    <row r="22" spans="1:4" x14ac:dyDescent="0.25">
      <c r="A22" s="3">
        <v>20</v>
      </c>
      <c r="B22" s="3"/>
      <c r="C22" s="3"/>
      <c r="D22" s="3"/>
    </row>
    <row r="23" spans="1:4" x14ac:dyDescent="0.25">
      <c r="A23" s="3">
        <v>21</v>
      </c>
      <c r="B23" s="3"/>
      <c r="C23" s="3"/>
      <c r="D23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STUDENT_REGISTER</vt:lpstr>
      <vt:lpstr>FEES_REGISTER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PC14</dc:creator>
  <cp:lastModifiedBy>PC14</cp:lastModifiedBy>
  <dcterms:created xsi:type="dcterms:W3CDTF">2026-08-20T09:01:41Z</dcterms:created>
  <dcterms:modified xsi:type="dcterms:W3CDTF">2026-08-21T08:58:41Z</dcterms:modified>
</cp:coreProperties>
</file>